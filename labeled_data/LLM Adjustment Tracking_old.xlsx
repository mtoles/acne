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 Tuning" sheetId="1" r:id="rId5"/>
    <sheet state="visible" name="Tracking Sheet" sheetId="2" r:id="rId6"/>
    <sheet state="visible" name="Outdated Active Tasklist" sheetId="3" r:id="rId7"/>
    <sheet state="visible" name="Outdated Prompt Iteration" sheetId="4" r:id="rId8"/>
    <sheet state="visible" name="Outdated Prompt Folder Tracking" sheetId="5" r:id="rId9"/>
  </sheets>
  <definedNames>
    <definedName hidden="1" localSheetId="0" name="_xlnm._FilterDatabase">'Prompt Tuning'!$A$1:$C$31</definedName>
    <definedName hidden="1" localSheetId="1" name="_xlnm._FilterDatabase">'Tracking Sheet'!$A$1:$I$39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http://mgbmtermsl40s-1.partners.org:5001/</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
      <text>
        <t xml:space="preserve">Labeling Note:
1) If two if the same KW cancer type, then determine 'cancer free' date based on latest cancer
Not enough +ve's
Label up to 50 -ve's
https://partnershealthcare-my.sharepoint.com/:f:/r/personal/mtoles_bwh_harvard_edu/Documents/acne%20validation/fixes?csf=1&amp;web=1&amp;e=uuOHVk</t>
      </text>
    </comment>
    <comment authorId="0" ref="D7">
      <text>
        <t xml:space="preserve">Labeling Note:
1) If two if the same KW cancer type, then determine 'cancer free' date based on latest cancer
Not enough +ve's
Label up to 50 -ve's
https://partnershealthcare-my.sharepoint.com/:f:/r/personal/mtoles_bwh_harvard_edu/Documents/acne%20validation/fixes?csf=1&amp;web=1&amp;e=uuOHVk</t>
      </text>
    </comment>
    <comment authorId="0" ref="E7">
      <text>
        <t xml:space="preserve">Labeling Note:
1) If two if the same KW cancer type, then determine 'cancer free' date based on latest cancer
Not enough +ve's
Label up to 50 -ve's
https://partnershealthcare-my.sharepoint.com/:f:/r/personal/mtoles_bwh_harvard_edu/Documents/acne%20validation/fixes?csf=1&amp;web=1&amp;e=uuOHVk</t>
      </text>
    </comment>
    <comment authorId="0" ref="C8">
      <text>
        <t xml:space="preserve">Re-Labeling Note:
*Re-Label any +ves i.e. dates or U
1) Check for 2 cancers of same type if it is the KW. If two of the same type exist, date should match the 'earliest' among them.
https://partnershealthcare-my.sharepoint.com/:f:/r/personal/mtoles_bwh_harvard_edu/Documents/acne%20validation/val_ds/Validation%20study%20-%20Folder%20for%20Dorsa%20and%20James%20to%20work%20on!?csf=1&amp;web=1&amp;e=F7hf9S</t>
      </text>
    </comment>
    <comment authorId="0" ref="D8">
      <text>
        <t xml:space="preserve">Re-Labeling Note:
*Re-Label any +ves i.e. dates or U
1) Check for 2 cancers of same type if it is the KW. If two of the same type exist, date should match the 'earliest' among them.
https://partnershealthcare-my.sharepoint.com/:f:/r/personal/mtoles_bwh_harvard_edu/Documents/acne%20validation/val_ds/Validation%20study%20-%20Folder%20for%20Dorsa%20and%20James%20to%20work%20on!?csf=1&amp;web=1&amp;e=F7hf9S</t>
      </text>
    </comment>
    <comment authorId="0" ref="E8">
      <text>
        <t xml:space="preserve">Re-Labeling Note:
*Re-Label any +ves i.e. dates or U
1) Check for 2 cancers of same type if it is the KW. If two of the same type exist, date should match the 'earliest' among them.
https://partnershealthcare-my.sharepoint.com/:f:/r/personal/mtoles_bwh_harvard_edu/Documents/acne%20validation/val_ds/Validation%20study%20-%20Folder%20for%20Dorsa%20and%20James%20to%20work%20on!?csf=1&amp;web=1&amp;e=F7hf9S</t>
      </text>
    </comment>
    <comment authorId="0" ref="C10">
      <text>
        <t xml:space="preserve">Re-Labeling Note:
*only need to check +ves
1) Check for 2 cancers of same type if it is the KW. If two of the same type exist, maximum stage should match the maximum stage for the 'earliest' among them.
https://partnershealthcare-my.sharepoint.com/:f:/r/personal/mtoles_bwh_harvard_edu/Documents/acne%20validation/val_ds/Validation%20study%20-%20Folder%20for%20Dorsa%20and%20James%20to%20work%20on!?csf=1&amp;web=1&amp;e=F7hf9S</t>
      </text>
    </comment>
    <comment authorId="0" ref="D10">
      <text>
        <t xml:space="preserve">Re-Labeling Note:
*only need to check +ves
1) Check for 2 cancers of same type if it is the KW. If two of the same type exist, maximum stage should match the 'earliest' among them.
https://partnershealthcare-my.sharepoint.com/:f:/r/personal/mtoles_bwh_harvard_edu/Documents/acne%20validation/val_ds/Validation%20study%20-%20Folder%20for%20Dorsa%20and%20James%20to%20work%20on!?csf=1&amp;web=1&amp;e=F7hf9S</t>
      </text>
    </comment>
    <comment authorId="0" ref="E10">
      <text>
        <t xml:space="preserve">Re-Labeling Note:
*only need to check +ves
1) Check for 2 cancers of same type if it is the KW. If two of the same type exist, maximum stage should match the 'earliest' among them.
https://partnershealthcare-my.sharepoint.com/:f:/r/personal/mtoles_bwh_harvard_edu/Documents/acne%20validation/val_ds/Validation%20study%20-%20Folder%20for%20Dorsa%20and%20James%20to%20work%20on!?csf=1&amp;web=1&amp;e=F7hf9S</t>
      </text>
    </comment>
    <comment authorId="0" ref="C11">
      <text>
        <t xml:space="preserve">Re-Labeling Note:
1) Check for 2 cancers of same type if it is the KW. If two of the same type exist, stage at diagnosis should match the 'earliest' among them.
https://partnershealthcare-my.sharepoint.com/:f:/r/personal/mtoles_bwh_harvard_edu/Documents/acne%20validation/val_ds/Validation%20study%20-%20Folder%20for%20Dorsa%20and%20James%20to%20work%20on!?csf=1&amp;web=1&amp;e=F7hf9S</t>
      </text>
    </comment>
    <comment authorId="0" ref="D11">
      <text>
        <t xml:space="preserve">Re-Labeling Note:
1) Check for 2 cancers of same type if it is the KW. If two of the same type exist, stage at diagnosis should match the 'earliest' among them.
https://partnershealthcare-my.sharepoint.com/:f:/r/personal/mtoles_bwh_harvard_edu/Documents/acne%20validation/val_ds/Validation%20study%20-%20Folder%20for%20Dorsa%20and%20James%20to%20work%20on!?csf=1&amp;web=1&amp;e=F7hf9S</t>
      </text>
    </comment>
    <comment authorId="0" ref="E11">
      <text>
        <t xml:space="preserve">Re-Labeling Note:
1) Check for 2 cancers of same type if it is the KW. If two of the same type exist, stage at diagnosis should match the 'earliest' among them.
https://partnershealthcare-my.sharepoint.com/:f:/r/personal/mtoles_bwh_harvard_edu/Documents/acne%20validation/val_ds/Validation%20study%20-%20Folder%20for%20Dorsa%20and%20James%20to%20work%20on!?csf=1&amp;web=1&amp;e=F7hf9S</t>
      </text>
    </comment>
    <comment authorId="0" ref="F15">
      <text>
        <t xml:space="preserve">Doesn't match mimic .md file</t>
      </text>
    </comment>
    <comment authorId="0" ref="C16">
      <text>
        <t xml:space="preserve">Re-Labeling Note:
*check +ves
1) Check for 2 transplants of same type if it is the KW. If two of the same type exist, transplant date should match the 'earliest' among them.
https://partnershealthcare-my.sharepoint.com/:f:/r/personal/mtoles_bwh_harvard_edu/Documents/acne%20validation/val_ds/Validation%20study%20-%20Folder%20for%20Dorsa%20and%20James%20to%20work%20on!?csf=1&amp;web=1&amp;e=F7hf9S</t>
      </text>
    </comment>
    <comment authorId="0" ref="D16">
      <text>
        <t xml:space="preserve">Re-Labeling Note:
*check +ves
1) Check for 2 transplants of same type if it is the KW. If two of the same type exist, transplant date should match the 'earliest' among them.
https://partnershealthcare-my.sharepoint.com/:f:/r/personal/mtoles_bwh_harvard_edu/Documents/acne%20validation/val_ds/Validation%20study%20-%20Folder%20for%20Dorsa%20and%20James%20to%20work%20on!?csf=1&amp;web=1&amp;e=F7hf9S</t>
      </text>
    </comment>
    <comment authorId="0" ref="E16">
      <text>
        <t xml:space="preserve">Re-Labeling Note:
*check +ves
1) Check for 2 transplants of same type if it is the KW. If two of the same type exist, transplant date should match the 'earliest' among them.
https://partnershealthcare-my.sharepoint.com/:f:/r/personal/mtoles_bwh_harvard_edu/Documents/acne%20validation/val_ds/Validation%20study%20-%20Folder%20for%20Dorsa%20and%20James%20to%20work%20on!?csf=1&amp;web=1&amp;e=F7hf9S</t>
      </text>
    </comment>
    <comment authorId="0" ref="C22">
      <text>
        <t xml:space="preserve">?SKIP BC DATE ON MIMIC?
Labeling Note:
1) If two if the same KW cancer type, then determine 'cancer free' date based on latest cancer
Not enough +ve examples
Label up to 50 -ve's
https://partnershealthcare-my.sharepoint.com/:f:/r/personal/mtoles_bwh_harvard_edu/Documents/acne%20validation/fixes?csf=1&amp;web=1&amp;e=uuOHVk</t>
      </text>
    </comment>
    <comment authorId="0" ref="D22">
      <text>
        <t xml:space="preserve">?SKIP BC DATE ON MIMIC?
Labeling Note:
1) If two if the same KW cancer type, then determine 'cancer free' date based on latest cancer
Not enough +ve examples
Label up to 50 -ve's
https://partnershealthcare-my.sharepoint.com/:f:/r/personal/mtoles_bwh_harvard_edu/Documents/acne%20validation/fixes?csf=1&amp;web=1&amp;e=uuOHVk</t>
      </text>
    </comment>
    <comment authorId="0" ref="E22">
      <text>
        <t xml:space="preserve">?SKIP BC DATE ON MIMIC?
Labeling Note:
1) If two if the same KW cancer type, then determine 'cancer free' date based on latest cancer
Not enough +ve examples
Label up to 50 -ve's
https://partnershealthcare-my.sharepoint.com/:f:/r/personal/mtoles_bwh_harvard_edu/Documents/acne%20validation/fixes?csf=1&amp;web=1&amp;e=uuOHVk</t>
      </text>
    </comment>
    <comment authorId="0" ref="C23">
      <text>
        <t xml:space="preserve">?SKIP BC DATE ON MIMIC?
Re-Labeling Note:
1) Check for 2 cancers of same type if it is the KW. If two of the same type exist, date should match the 'earliest' among them.
https://partnershealthcare-my.sharepoint.com/:f:/r/personal/mtoles_bwh_harvard_edu/Documents/acne%20validation/mimic?csf=1&amp;web=1&amp;e=S5CbDR</t>
      </text>
    </comment>
    <comment authorId="0" ref="D23">
      <text>
        <t xml:space="preserve">?SKIP BC DATE ON MIMIC?
Re-Labeling Note:
1) Check for 2 cancers of same type if it is the KW. If two of the same type exist, date should match the 'earliest' among them.
https://partnershealthcare-my.sharepoint.com/:f:/r/personal/mtoles_bwh_harvard_edu/Documents/acne%20validation/mimic?csf=1&amp;web=1&amp;e=S5CbDR</t>
      </text>
    </comment>
    <comment authorId="0" ref="E23">
      <text>
        <t xml:space="preserve">?SKIP BC DATE ON MIMIC?
Re-Labeling Note:
1) Check for 2 cancers of same type if it is the KW. If two of the same type exist, date should match the 'earliest' among them.
https://partnershealthcare-my.sharepoint.com/:f:/r/personal/mtoles_bwh_harvard_edu/Documents/acne%20validation/mimic?csf=1&amp;web=1&amp;e=S5CbDR</t>
      </text>
    </comment>
    <comment authorId="0" ref="C25">
      <text>
        <t xml:space="preserve">Re-Labeling Note:
Can skip relabeling, since there are no dates..
1) Check for 2 cancers of same type if it is the KW. If two of the same type exist, maximum stage should match the maximum stage for the 'earliest' among them.
https://partnershealthcare-my.sharepoint.com/:f:/r/personal/mtoles_bwh_harvard_edu/Documents/acne%20validation/mimic?csf=1&amp;web=1&amp;e=S5CbDR</t>
      </text>
    </comment>
    <comment authorId="0" ref="D25">
      <text>
        <t xml:space="preserve">Re-Labeling Note:
Can skip relabeling, since there are no dates..
1) Check for 2 cancers of same type if it is the KW. If two of the same type exist, maximum stage should match the maximum stage for the 'earliest' among them.
https://partnershealthcare-my.sharepoint.com/:f:/r/personal/mtoles_bwh_harvard_edu/Documents/acne%20validation/mimic?csf=1&amp;web=1&amp;e=S5CbDR</t>
      </text>
    </comment>
    <comment authorId="0" ref="E25">
      <text>
        <t xml:space="preserve">Re-Labeling Note:
Can skip relabeling, since there are no dates..
1) Check for 2 cancers of same type if it is the KW. If two of the same type exist, maximum stage should match the maximum stage for the 'earliest' among them.
https://partnershealthcare-my.sharepoint.com/:f:/r/personal/mtoles_bwh_harvard_edu/Documents/acne%20validation/mimic?csf=1&amp;web=1&amp;e=S5CbDR</t>
      </text>
    </comment>
    <comment authorId="0" ref="C26">
      <text>
        <t xml:space="preserve">Re-Labeling Note:
Can skip relabeling, since there are no dates..
1) Check for 2 cancers of same type if it is the KW. If two of the same type exist, stage at diagnosis should match the 'earliest' among them.
https://partnershealthcare-my.sharepoint.com/:f:/r/personal/mtoles_bwh_harvard_edu/Documents/acne%20validation/mimic?csf=1&amp;web=1&amp;e=S5CbDR</t>
      </text>
    </comment>
    <comment authorId="0" ref="D26">
      <text>
        <t xml:space="preserve">Re-Labeling Note:
Can skip relabeling, since there are no dates..
1) Check for 2 cancers of same type if it is the KW. If two of the same type exist, stage at diagnosis should match the 'earliest' among them.
https://partnershealthcare-my.sharepoint.com/:f:/r/personal/mtoles_bwh_harvard_edu/Documents/acne%20validation/mimic?csf=1&amp;web=1&amp;e=S5CbDR</t>
      </text>
    </comment>
    <comment authorId="0" ref="E26">
      <text>
        <t xml:space="preserve">Re-Labeling Note:
Can skip relabeling, since there are no dates..
1) Check for 2 cancers of same type if it is the KW. If two of the same type exist, stage at diagnosis should match the 'earliest' among them.
https://partnershealthcare-my.sharepoint.com/:f:/r/personal/mtoles_bwh_harvard_edu/Documents/acne%20validation/mimic?csf=1&amp;web=1&amp;e=S5CbDR</t>
      </text>
    </comment>
    <comment authorId="0" ref="C31">
      <text>
        <t xml:space="preserve">?SKIP NO DATES?
Re-Labeling Note:
*check +ves
1) Check for 2 transplants of same type if it is the KW. If two of the same type exist, transplant date should match the 'earliest' among them
https://partnershealthcare-my.sharepoint.com/:f:/r/personal/mtoles_bwh_harvard_edu/Documents/acne%20validation/mimic?csf=1&amp;web=1&amp;e=S5CbDR</t>
      </text>
    </comment>
    <comment authorId="0" ref="D31">
      <text>
        <t xml:space="preserve">?SKIP NO DATES?
Re-Labeling Note:
*check +ves
1) Check for 2 transplants of same type if it is the KW. If two of the same type exist, transplant date should match the 'earliest' among them.
https://partnershealthcare-my.sharepoint.com/:f:/r/personal/mtoles_bwh_harvard_edu/Documents/acne%20validation/mimic?csf=1&amp;web=1&amp;e=S5CbDR</t>
      </text>
    </comment>
    <comment authorId="0" ref="E31">
      <text>
        <t xml:space="preserve">?SKIP NO DATES?
Re-Labeling Note:
*check +ves
1) Check for 2 transplants of same type if it is the KW. If two of the same type exist, transplant date should match the 'earliest' among them.
https://partnershealthcare-my.sharepoint.com/:f:/r/personal/mtoles_bwh_harvard_edu/Documents/acne%20validation/mimic?csf=1&amp;web=1&amp;e=S5CbDR</t>
      </text>
    </comment>
    <comment authorId="0" ref="C32">
      <text>
        <t xml:space="preserve">Re-Labeling Note:
*check +ves (dates, U)
1) If 2 cancers of same type, then select 'LATEST' among them to determine cancer date free
2) If 2 cancers of different types, then DROP
https://partnershealthcare-my.sharepoint.com/:f:/r/personal/mtoles_bwh_harvard_edu/Documents/acne%20validation/fixes?csf=1&amp;web=1&amp;e=uuOHVk</t>
      </text>
    </comment>
    <comment authorId="0" ref="D32">
      <text>
        <t xml:space="preserve">Re-Labeling Note:
*check +ves (dates, U)
1) If 2 cancers of same type, then select 'LATEST' among them to determine cancer date free
2) If 2 cancers of different types, then DROP
https://partnershealthcare-my.sharepoint.com/:f:/r/personal/mtoles_bwh_harvard_edu/Documents/acne%20validation/fixes?csf=1&amp;web=1&amp;e=uuOHVk</t>
      </text>
    </comment>
    <comment authorId="0" ref="E32">
      <text>
        <t xml:space="preserve">Re-Labeling Note:
*check +ves (dates, U)
1) If 2 cancers of same type, then select 'LATEST' among them to determine cancer date free
2) If 2 cancers of different types, then DROP
https://partnershealthcare-my.sharepoint.com/:f:/r/personal/mtoles_bwh_harvard_edu/Documents/acne%20validation/fixes?csf=1&amp;web=1&amp;e=uuOHVk</t>
      </text>
    </comment>
    <comment authorId="0" ref="C33">
      <text>
        <t xml:space="preserve">Re-Labeling Note:
1) If 2 cancers of same type, then select 'earliest' diagnosis date among them
2) If 2 cancers of different types, then DROP
https://partnershealthcare-my.sharepoint.com/:f:/r/personal/mtoles_bwh_harvard_edu/Documents/acne%20validation/synthetic/mgb_synth?csf=1&amp;web=1&amp;e=MRvcX7</t>
      </text>
    </comment>
    <comment authorId="0" ref="D33">
      <text>
        <t xml:space="preserve">Re-Labeling Note:
1) If 2 cancers of same type, then select 'earliest' diagnosis date among them
2) If 2 cancers of different types, then DROP
https://partnershealthcare-my.sharepoint.com/:f:/r/personal/mtoles_bwh_harvard_edu/Documents/acne%20validation/synthetic/mgb_synth?csf=1&amp;web=1&amp;e=MRvcX7</t>
      </text>
    </comment>
    <comment authorId="0" ref="E33">
      <text>
        <t xml:space="preserve">Re-Labeling Note:
1) If 2 cancers of same type, then select 'earliest' diagnosis date among them
2) If 2 cancers of different types, then DROP
https://partnershealthcare-my.sharepoint.com/:f:/r/personal/mtoles_bwh_harvard_edu/Documents/acne%20validation/synthetic/mgb_synth?csf=1&amp;web=1&amp;e=MRvcX7</t>
      </text>
    </comment>
    <comment authorId="0" ref="C34">
      <text>
        <t xml:space="preserve">Re-Labeling Note:
1) Check for 2 cancers of same type. If two of the same type exist, maximum stage should match the maximum stage for the 'earliest' among them
2) If 2 cancers of different types, then DROP
https://partnershealthcare-my.sharepoint.com/:f:/r/personal/mtoles_bwh_harvard_edu/Documents/acne%20validation/synthetic/mgb_synth?csf=1&amp;web=1&amp;e=MRvcX7</t>
      </text>
    </comment>
    <comment authorId="0" ref="D34">
      <text>
        <t xml:space="preserve">Re-Labeling Note:
1) Check for 2 cancers of same type. If two of the same type exist, maximum stage should match the maximum stage for the 'earliest' among them
2) If 2 cancers of different types, then DROP
https://partnershealthcare-my.sharepoint.com/:f:/r/personal/mtoles_bwh_harvard_edu/Documents/acne%20validation/synthetic/mgb_synth?csf=1&amp;web=1&amp;e=MRvcX7</t>
      </text>
    </comment>
    <comment authorId="0" ref="E34">
      <text>
        <t xml:space="preserve">Re-Labeling Note:
1) Check for 2 cancers of same type. If two of the same type exist, maximum stage should match the maximum stage for the 'earliest' among them
2) If 2 cancers of different types, then DROP
https://partnershealthcare-my.sharepoint.com/:f:/r/personal/mtoles_bwh_harvard_edu/Documents/acne%20validation/synthetic/mgb_synth?csf=1&amp;web=1&amp;e=MRvcX7</t>
      </text>
    </comment>
    <comment authorId="0" ref="C35">
      <text>
        <t xml:space="preserve">Re-Labeling Note:
*I think this is ok minus the one orange one..
1) If 2 cancers of same type, then select 'earliest' stage at diagnosis among them
2) If 2 cancers of different types, then DROP
https://partnershealthcare-my.sharepoint.com/:f:/r/personal/mtoles_bwh_harvard_edu/Documents/acne%20validation/synthetic/mgb_synth?csf=1&amp;web=1&amp;e=MRvcX7</t>
      </text>
    </comment>
    <comment authorId="0" ref="D35">
      <text>
        <t xml:space="preserve">Re-Labeling Note:
*I think this is ok minus the one orange one..
1) If 2 cancers of same type, then select 'earliest' stage at diagnosis among them
2) If 2 cancers of different types, then DROP
https://partnershealthcare-my.sharepoint.com/:f:/r/personal/mtoles_bwh_harvard_edu/Documents/acne%20validation/synthetic/mgb_synth?csf=1&amp;web=1&amp;e=MRvcX7</t>
      </text>
    </comment>
    <comment authorId="0" ref="E35">
      <text>
        <t xml:space="preserve">Re-Labeling Note:
*I think this is ok minus the one orange one..
1) If 2 cancers of same type, then select 'earliest' stage at diagnosis among them
2) If 2 cancers of different types, then DROP
https://partnershealthcare-my.sharepoint.com/:f:/r/personal/mtoles_bwh_harvard_edu/Documents/acne%20validation/synthetic/mgb_synth?csf=1&amp;web=1&amp;e=MRvcX7</t>
      </text>
    </comment>
    <comment authorId="0" ref="C36">
      <text>
        <t xml:space="preserve">Labeling:
SKIP in favor of next row down
Not enough +ves 
https://partnershealthcare-my.sharepoint.com/:f:/r/personal/mtoles_bwh_harvard_edu/Documents/acne%20validation/fixes?csf=1&amp;web=1&amp;e=3caaAT</t>
      </text>
    </comment>
    <comment authorId="0" ref="D36">
      <text>
        <t xml:space="preserve">Labeling:
SKIP in favor of next row down
https://partnershealthcare-my.sharepoint.com/:f:/r/personal/mtoles_bwh_harvard_edu/Documents/acne%20validation/fixes?csf=1&amp;web=1&amp;e=3caaAT</t>
      </text>
    </comment>
    <comment authorId="0" ref="E36">
      <text>
        <t xml:space="preserve">Labeling:
SKIP in favor of next row down
https://partnershealthcare-my.sharepoint.com/:f:/r/personal/mtoles_bwh_harvard_edu/Documents/acne%20validation/fixes?csf=1&amp;web=1&amp;e=3caaAT</t>
      </text>
    </comment>
    <comment authorId="0" ref="C37">
      <text>
        <t xml:space="preserve">https://partnershealthcare-my.sharepoint.com/:f:/r/personal/mtoles_bwh_harvard_edu/Documents/acne%20validation/fixes?csf=1&amp;web=1&amp;e=3caaAT</t>
      </text>
    </comment>
    <comment authorId="0" ref="D37">
      <text>
        <t xml:space="preserve">https://partnershealthcare-my.sharepoint.com/:f:/r/personal/mtoles_bwh_harvard_edu/Documents/acne%20validation/fixes?csf=1&amp;web=1&amp;e=3caaAT</t>
      </text>
    </comment>
    <comment authorId="0" ref="E37">
      <text>
        <t xml:space="preserve">Labeling:
*
https://partnershealthcare-my.sharepoint.com/:f:/r/personal/mtoles_bwh_harvard_edu/Documents/acne%20validation/fixes?csf=1&amp;web=1&amp;e=3caaAT</t>
      </text>
    </comment>
    <comment authorId="0" ref="C38">
      <text>
        <t xml:space="preserve">Can we re-consensus this from scratch? I misunderstood instructions. Didn't notice KWs were organ specific.
Re-Labeling Note:
1) If 2 transplants of same type matching KW, then select 'earliest' transplant among them
2) Not necessary to DROP since we have transplant-specific KWs
Matt ran with updated exclusion; new chunks will be in below folder  'fixes'. Updates are not visible in the prompt as a change bc 'exclusions' are on the back end
https://partnershealthcare-my.sharepoint.com/:f:/r/personal/mtoles_bwh_harvard_edu/Documents/acne%20validation/fixes?csf=1&amp;web=1&amp;e=NAYAH6</t>
      </text>
    </comment>
    <comment authorId="0" ref="D38">
      <text>
        <t xml:space="preserve">Can we re-consensus this from scratch? I misunderstood instructions. Didn't notice KWs were organ specific.
Re-Labeling Note:
1) If 2 transplants of same type matching KW, then select 'earliest' transplant among them
2) Not necessary to DROP since we have transplant-specific KWs
Matt ran with updated exclusion; new chunks will be in below folder  'fixes'. Updates are not visible in the prompt as a change bc 'exclusions' are on the back end
https://partnershealthcare-my.sharepoint.com/:f:/r/personal/mtoles_bwh_harvard_edu/Documents/acne%20validation/fixes?csf=1&amp;web=1&amp;e=NAYAH6</t>
      </text>
    </comment>
    <comment authorId="0" ref="E38">
      <text>
        <t xml:space="preserve">Can we re-consensus this from scratch? I misunderstood instructions. Didn't notice KWs were organ specific.
Re-Labeling Note:
1) If 2 transplants of same type matching KW, then select 'earliest' transplant among them
2) Not necessary to DROP since we have transplant-specific KWs
Matt ran with updated exclusion; new chunks will be in below folder  'fixes'. Updates are not visible in the prompt as a change bc 'exclusions' are on the back end
https://partnershealthcare-my.sharepoint.com/:f:/r/personal/mtoles_bwh_harvard_edu/Documents/acne%20validation/fixes?csf=1&amp;web=1&amp;e=NAYAH6</t>
      </text>
    </comment>
    <comment authorId="0" ref="G38">
      <text>
        <t xml:space="preserve">Excluded transplant list updated on 20251117</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date grey blank + prompt grey blank = no data</t>
      </text>
    </comment>
    <comment authorId="0" ref="K2">
      <text>
        <t xml:space="preserve">date grey filled + prompt grey blank = prompt unchanged since last iteration</t>
      </text>
    </comment>
    <comment authorId="0" ref="W15">
      <text>
        <t xml:space="preserve">outdated relative to 20250922 mimic prompt</t>
      </text>
    </comment>
  </commentList>
</comments>
</file>

<file path=xl/sharedStrings.xml><?xml version="1.0" encoding="utf-8"?>
<sst xmlns="http://schemas.openxmlformats.org/spreadsheetml/2006/main" count="963" uniqueCount="362">
  <si>
    <t>Data Point</t>
  </si>
  <si>
    <t>Prompt Tuner</t>
  </si>
  <si>
    <t>Data Type</t>
  </si>
  <si>
    <t>Keywords</t>
  </si>
  <si>
    <t>Response Options</t>
  </si>
  <si>
    <t>Prompt #1 (baseline)</t>
  </si>
  <si>
    <t>Accuracy #1</t>
  </si>
  <si>
    <t>Prompt #2</t>
  </si>
  <si>
    <t>Accuracy #2</t>
  </si>
  <si>
    <t>Prompt #3</t>
  </si>
  <si>
    <t>Accuracy #3</t>
  </si>
  <si>
    <t>Prompt #4</t>
  </si>
  <si>
    <t>Accuracy #4</t>
  </si>
  <si>
    <t>Prompt #5</t>
  </si>
  <si>
    <t>Accuracy #5</t>
  </si>
  <si>
    <t>Prompt #6</t>
  </si>
  <si>
    <t>Accuracy #6</t>
  </si>
  <si>
    <t>Prompt #7</t>
  </si>
  <si>
    <t>Accuracy #7</t>
  </si>
  <si>
    <t>Prompt #8</t>
  </si>
  <si>
    <t>Accuracy #8</t>
  </si>
  <si>
    <t>Max Accuracy</t>
  </si>
  <si>
    <t>Best Accuracy</t>
  </si>
  <si>
    <t>Mislabeled to Fix (Answer Change + Row #)</t>
  </si>
  <si>
    <t>Data</t>
  </si>
  <si>
    <t>Average % Total</t>
  </si>
  <si>
    <t>% of Variables &gt;95% Max Accuracy</t>
  </si>
  <si>
    <t>alcohol_amount</t>
  </si>
  <si>
    <t>DM</t>
  </si>
  <si>
    <t>MGB Original</t>
  </si>
  <si>
    <t>['alcohol', 'drinks', 'etoh']</t>
  </si>
  <si>
    <t>A. 0 (sober or does not drink), B. 1-2, C. 3-5, D. 6+, E. Drinker but unknown quantity, F. No indication of alcohol status</t>
  </si>
  <si>
    <t>How many drinks per week does this patient drink? Options are: A. 0 (sober or does not drink), B. 1-2, C. 3-5, D. 6+, E. Drinker but unknown quantity, F. No indication of alcohol status</t>
  </si>
  <si>
    <t>How many drinks per week does this patient drink? Round all values up to the nearest integer (i.e. 0.1 -&gt; 1), using the largest value if a range is given. Only use stated numbers; do not guess based on words like 'rare'. DO NOT use questionnaire scores (e.g. AUDIT-C, TAPS) to determine alcohol status. Options are: A. 0 (sober or does not drink), B. 1-2, C. 3-5, D. 6+, E. Drinker but unknown quantity, F. No indication of alcohol status</t>
  </si>
  <si>
    <t xml:space="preserve">How many drinks per week does this patient drink? Round all values up to the nearest integer (i.e. 0.1 -&gt; 1), using the largest value if a range is given. Only use stated numbers; do not guess based on words like 'rare'. If the note indicates the patient drinks alcohol but the only numeric value is 0, output E unless another non-zero number is provided. DO NOT use questionnaire scores (e.g. AUDIT-C, TAPS) to determine alcohol status. If the only information about alcohol use comes from questionnaire scores, output F. Options are: A. 0 (sober or does not drink), B. 1-2, C. 3-5, D. 6+, E. Drinker but unknown quantity, F. No indication of alcohol status.
</t>
  </si>
  <si>
    <t>How many drinks per week does this patient drink? Round all values up to the nearest integer (i.e. 0.1 -&gt; 1), using the largest value if a range is given. Only use stated numbers; do not guess based on words like 'rare'. If the note indicates the patient drinks alcohol but the only numeric value is 0, output E unless another non-zero number is provided. DO NOT use questionnaire scores (e.g. AUDIT-C, TAPS, PROMs Alcohol Use Screening Score) to determine alcohol status. Treat any alcohol-related questions and answers that appear under sections labeled PROMs, PROMIS, Patient-Reported Outcomes, or Alcohol Use Screening (for example, “How often do you have a drink containing alcohol?” or “How many drinks containing alcohol do you have on a typical day when you are drinking?”) as questionnaire data and ignore them. If the only information about alcohol use comes from questionnaire scores or questionnaire questions/answers, output F. “Avoid alcohol” does not indicate alcohol status. Do not use alcohol volume (oz, mL, grams) to determine number of drinks per week. Options are: A. 0 (sober or does not drink), B. 1-2, C. 3-5, D. 6+, E. Drinker but unknown quantity, F. No indication of alcohol status.</t>
  </si>
  <si>
    <t>How many drinks per week does this patient drink? Round all values up to the nearest integer (i.e. 0.1 -&gt; 1), using the largest value if a range is given. Only use stated numbers (i.e. 1 or one); do not guess based on words like 'rare'. If the note indicates the patient drinks alcohol but the only numeric value is 0, output E unless another non-zero number is provided. DO NOT use questionnaire scores (e.g. AUDIT-C, TAPS, PROMs Alcohol Use Screening Score) to determine alcohol status. Treat any alcohol-related questions and answers that appear under sections labeled PROMs, PROMIS, Patient-Reported Outcomes, or Alcohol Use Screening (for example, “How often do you have a drink containing alcohol?” or “How many drinks containing alcohol do you have on a typical day when you are drinking?”) as questionnaire data and ignore them. If the only information about alcohol use comes from questionnaire scores or questionnaire questions/answers, output F. “Avoid alcohol” does not indicate alcohol status. Do not use alcohol volume (oz, mL, grams) to determine number of drinks per week. Options are: A. 0 (sober or does not drink), B. 1-2, C. 3-5, D. 6+, E. Drinker but unknown quantity, F. No indication of alcohol status.</t>
  </si>
  <si>
    <t>How many drinks per week does this patient drink?
Round all values up to the nearest integer (e.g., 0.1 → 1).
If a range is given, use the largest value.
Use only explicitly stated numbers (e.g., “1”, “one”). Do not infer quantities from qualitative terms such as “rare,” “occasional,” or “social.”
Answer options:
A. 0 (sober or does not drink)
B. 1–2
C. 3–5
D. 6+
E. Drinker but unknown quantity
F. No indication of alcohol status
Step 1: Evidence the patient drinks alcohol
The following indicate that the patient does drink alcohol (some amount), even if quantity is unknown:
Positive serum alcohol / blood alcohol detected
Alcohol withdrawal
“EtOH abuse,” “alcohol abuse,” “chronic alcohol use,” or “EtOH use” written in the present tense (e.g., “male with EtOH abuse”)
If any of the above are present and no numeric quantity is provided, select E (Drinker but unknown quantity).
Step 2: Non-drinker
If the note explicitly states the patient does not drink, never drinks, or is sober, select A (0).
The phrase “avoid alcohol” does not indicate alcohol use or non-use and should be ignored.
Step 3: Historical alcohol use only
If alcohol use (e.g., alcohol abuse, EtOH use) is mentioned only as past medical history, history of, or previous history, and there is no indication of current use, select F (No indication of alcohol status).
A negative serum alcohol result does not indicate that the patient does not drink and should not be used to assign A or F.
Step 4: Numeric quantity (only if explicitly stated)
If an explicit numeric number of drinks per week is stated, assign:
1–2 drinks/week → B
3–5 drinks/week → C
6+ drinks/week → D
If the note indicates the patient drinks alcohol and the only numeric value provided is 0, select E, unless another non-zero number is explicitly stated elsewhere.
Do NOT use alcohol volume (oz, mL, grams) to calculate drinks per week.
Step 5: No information
If there is no information anywhere in the note indicating whether the patient drinks alcohol at all, select F (No indication of alcohol status).
Questionnaire exclusion rule
Do NOT use questionnaire scores or questionnaire responses to determine alcohol use or quantity. This includes AUDIT-C, TAPS, PROMs Alcohol Use Screening Score, or similar tools.
Ignore all alcohol-related questions and answers that appear under sections labeled PROMs, PROMIS, Patient-Reported Outcomes, or Alcohol Use Screening (e.g., “How often do you have a drink containing alcohol?”).
If the only alcohol information in the note comes from questionnaire scores or questionnaire questions/answers, select F (No indication of alcohol status).</t>
  </si>
  <si>
    <t>How many drinks per week does this patient drink?
Round all values up to the nearest integer (e.g., 0.1 → 1). If a range is given, use the largest value. Use only explicitly stated numbers (e.g., “1” or “one”). Do not guess from qualitative terms such as “rare,” “occasional,” “social,” or “sometimes.”
Options are:
A. 0 (sober or does not drink)
B. 1–2
C. 3–5
D. 6+
E. Drinker but unknown quantity
F. No indication of alcohol status
Questionnaire exclusion (CRITICAL): Do NOT use any alcohol questionnaire content to determine drinking status or drinks/week. This includes AUDIT-C, AUDIT, SBAQ/S2BI, TAPS, PROMs, PROMIS, Patient-Reported Outcomes, Alcohol Use Screening, Screening Score, or any similar standardized screening tool. Treat the following as questionnaire data and ignore it entirely: (1) questionnaire scores, AND (2) questionnaire questions and answers (e.g., “How often do you have a drink containing alcohol?”, “How many drinks on a typical day?”, “How often six or more drinks?”), even if they contain numbers like “2–4 times a month” or “1 or 2.” If the only alcohol-related information in the note comes from questionnaire sections or questionnaire Q/A, output F.
“Avoid alcohol” does not indicate alcohol status. Do not use alcohol volume (oz, mL, grams) to infer drinks/week.
How to identify usable alcohol information: Use narrative, clinician-documented, or social history statements outside questionnaires. Recognize alcohol synonyms such as {keyword}, alcohol, etoh, ETOH, ethanol, drinks, beer, wine, liquor, spirits. If the provided {keyword} term (e.g., “etoh”) is not associated with a numeric drinks-per-week quantity, but another alcohol synonym in the note (e.g., “alcohol”) is associated with a numeric drinks-per-week quantity, use that numeric value.
Selecting the number: If multiple numeric drinking quantities are documented (e.g., “2 drinks/week” and “3 glasses of wine/week”), use the highest numeric drinks-per-week value. If the note indicates the patient drinks alcohol but provides no numeric drinks-per-week quantity, output E. If the note explicitly states the patient does not drink / never drinks / sober, output A. If there is no information about alcohol use after excluding questionnaire content, output F. If the note indicates alcohol use but the only numeric value shown is 0, output E unless another non-zero number is explicitly provided elsewhere outside questionnaires.</t>
  </si>
  <si>
    <t>JC</t>
  </si>
  <si>
    <t>How many drinks per week does this patient drink? Round all values up to the nearest integer (i.e. 0.1 -&gt; 1), using the largest value if a range is given. Only use stated numbers; do not guess based on words like 'rare' or 'occasionally'. DO NOT use volumetric measurements (i.e. oz, ounces, liters). DO NOT use warnings or instructions of alcohol use. DO NOT use questionnaire scores (e.g. AUDIT-C, TAPS, PROMs Alcohol Use Screening Score, GAD-7, S2BI Alcohol) to determine alcohol status. Define a standard drink as any of the following: 1 can of beer, 1 glass of wine, 1 shot, 1 drink and take the largest value should different values be given. If status of not currently drinking is indicated (i.e. 'Not Currently) and in the same note, frequency is not asked (i.e. 'Not Asked') then answer is 'A. 0 (sober or does not drink)'. Options are: A. 0 (sober or does not drink), B. 1-2, C. 3-5, D. 6+, E. Drinker but unknown quantity, F. No indication of alcohol status</t>
  </si>
  <si>
    <t>How many drinks per week does this patient drink? Round all values up to the nearest integer (i.e., 0.1 → 1), using the largest value if a range is given. Only use stated numbers (i.e., 1 or one); do not guess based on words like "rare," "occasionally," or "few." DO NOT use questionnaire scores (e.g., AUDIT-C, TAPS, PROMs Alcohol Use Screening Score, GAD-7, S2BI Alcohol) to determine alcohol status. Treat any alcohol-related questions and answers that appear under sections labeled PROMs, PROMIS, Patient-Reported Outcomes, or Alcohol Use Screening (for example, “How often do you have a drink containing alcohol?” or “How many drinks containing alcohol do you have on a typical day when you are drinking?”) as questionnaire data and ignore them. If the only information about alcohol use comes from questionnaire scores or questionnaire questions/answers, output F. “Avoid alcohol” or similar instructions do not indicate alcohol status. Do not use alcohol volume (oz, mL, grams, liters) to determine number of drinks per week. If the note indicates the patient drinks alcohol but the only numeric value is 0, output E unless another non-zero number is provided. Define a standard drink as any of the following: 1 can of beer, 1 glass of wine, 1 shot, or 1 mixed drink. If the status of not currently drinking is indicated (i.e., "Not Currently") and in the same note frequency is not asked (i.e., "Not Asked"), then answer A. Options are: A. 0 (sober or does not drink), B. 1-2, C. 3-5, D. 6+, E. Drinker but unknown quantity, F. No indication of alcohol status</t>
  </si>
  <si>
    <t>How many drinks per week does this patient currently drink?
Round all values up to the nearest integer (e.g., 0.1 → 1). If a range is given, use the largest value. Use only explicitly stated numbers (e.g., “1” or “one”). Do not infer quantity from qualitative terms such as “rare,” “occasional,” or “few.”
Answer options:
A. 0 (sober or does not drink)
B. 1–2
C. 3–5
D. 6+
E. Drinker but unknown quantity
F. No indication of alcohol status
Questionnaire exclusion:
Do NOT use alcohol questionnaires to determine drinking status or drinks per week. This includes (but is not limited to): AUDIT-C, AUDIT, TAPS, SBAQ/S2BI, PROMs, PROMIS, Patient-Reported Outcomes, Alcohol Use Screening, Screening Scores, GAD-7.alcohol questionnaires to determine drinking status or drinks per week.
Treat the following as questionnaire data and ignore entirely:
- Questionnaire scores
- Questionnaire questions and their answers (e.g., “How often do you have a drink containing alcohol?”, “How many drinks on a typical day?”), even if they contain numbers.
- Patient instructions (e.g., “do not drink etoh or alcohol when pregnant”)
If the only alcohol-related information in the note comes from questionnaire content, output F
What counts as usable alcohol information:
- Use narrative, clinician-documented, or social history statements outside questionnaire sections.
- Recognize alcohol synonyms such as alcohol, etoh, ETOH, ethanol, drinks, beer, wine, liquor, spirits.
- If one synonym lacks a numeric value but another synonym elsewhere includes a numeric drinks-per-week value, use the numeric value.
Selecting the number:
- If multiple numeric drinking quantities are present, use the highest drinks-per-week value.
- Do not use alcohol volume (oz, mL, grams, liters) to infer drinks.
- A standard drink = 1 beer, 1 glass of wine, 1 shot, or 1 mixed drink.
Edge cases and fallbacks:
- If the note explicitly states the patient does not drink / never drinks / sober, output A
- If the note indicates alcohol use but provides no numeric quantity, output E
- If alcohol use is indicated but the only numeric value is 0, output E unless another non-zero value is explicitly documented outside questionnaires.
“Avoid alcohol” or similar counseling does not indicate alcohol status.
If no alcohol information remains after exclusions, output F
If the status is “Not Currently” and frequency is “Not Asked”, output A
If the frequency is "Not Asked" and the status is not specified, output F
If the status is "Social etoh" and the frequency of alcohol use is 3 cans of beer, output C</t>
  </si>
  <si>
    <t>How many drinks per week does this patient currently drink?
Round all values up to the nearest integer (e.g., 0.1 → 1). If a range is given, use the largest value. Use only explicitly stated numbers (e.g., “1” or “one”). Do not infer quantity from qualitative terms such as “rare,” “occasional,” or “few.”
Answer options:
A. 0 (sober or does not drink)
B. 1–2
C. 3–5
D. 6+
E. Drinker but unknown quantity
F. No indication of alcohol status
Questionnaire exclusion:
Do NOT use alcohol questionnaires to determine drinking status or drinks per week. This includes (but is not limited to): AUDIT-C, AUDIT, TAPS, SBAQ/S2BI, PROMs, PROMIS, Patient-Reported Outcomes, Alcohol Use Screening, Screening Scores, GAD-7.
Treat the following as questionnaire data and ignore entirely:
- Questionnaire scores
- Questionnaire questions and their answers (e.g., “How often do you have a drink containing alcohol?”, “How many drinks on a typical day?”), even if they contain numbers.
- Patient instructions (e.g., “do not drink etoh or alcohol when pregnant”)
If the only alcohol-related information in the note comes from questionnaire content, output F
What counts as usable alcohol information:
- Use narrative, clinician-documented, or social history statements outside questionnaire sections.
- Recognize alcohol synonyms such as alcohol, etoh, ETOH, ethanol, drinks, beer, wine, liquor, spirits.
- If one synonym lacks a numeric value but another synonym elsewhere includes a numeric drinks-per-week value, use the numeric value.
Selecting the number:
- If multiple numeric drinking quantities are present, use the highest drinks-per-week value.
- Do not use alcohol volume (oz, mL, grams, liters) to infer drinks.
- A standard drink = 1 beer, 1 glass of wine, 1 shot, or 1 mixed drink.
Edge cases and fallbacks:
- If the note explicitly states the patient does not drink / never drinks / sober, output A
- If the note indicates alcohol use but provides no numeric quantity, output E
- If alcohol use is indicated but the only numeric value is 0, output E unless another non-zero value is explicitly documented outside questionnaires.
“Avoid alcohol” or similar counseling does not indicate alcohol status.
If no alcohol information remains after exclusions, output F
If the status is “Not Currently” and frequency is “Not Asked”, output A
If the frequency is "Not Asked" and the status is not specified, output F
If the status is "Social etoh" and the frequency of alcohol use is 3 cans of beer, output C</t>
  </si>
  <si>
    <t>alcohol_status</t>
  </si>
  <si>
    <t>A. Currently Drinks, B. Does not currently drink, C. No indication of alcohol status</t>
  </si>
  <si>
    <t>What is the patient’s alcohol use status? Options are: A. Currently Drinks, B. Does not currently drink, C. No indication of alcohol status</t>
  </si>
  <si>
    <t>What is the patient's alcohol use status? (Note: ETOH is the abbreviation for ethanol/drinking/alcohol use.) If the patient abuses alcohol, return A. If no information is given about alcohol use, return C. DO NOT use questionnaire questions and answers (e.g. AUDIT-C, TAPS, PHQ-2, GAD, PROMIS) to determine alcohol status. Options are: A. Currently Drinks, B. Does not currently drink, C. No indication of alcohol status</t>
  </si>
  <si>
    <t>What is the alcohol status of this patient? (Note: ETOH is the abbreviation for ethanol/drinking/alcohol use. The names of specific alcoholic beverages like beer, wine, champagne, vodka may also be used as abbreviations for ethanol/drinking/alcohol use) If the patient abuses alcohol, return A. If no information is given, return C. DO NOT use questionnaire scores (e.g. AUDIT-C, TAPS, PROMs Alcohol Use Screening Score) to determine alcohol status. Treat any alcohol-related questions and answers that appear under sections labeled PROMs, PROMIS, Patient-Reported Outcomes, or Alcohol Use Screening (for example, “How often do you have a drink containing alcohol?” or “How many drinks containing alcohol do you have on a typical day when you are drinking?”) as questionnaire data and ignore them. If the only information about alcohol use comes from questionnaire scores or questionnaire questions/answers, output C. Options are: A. Currently Drinks, B. Does not currently drink, C. No indication of alcohol status</t>
  </si>
  <si>
    <t>What is the alcohol status of this patient? (Note: ETOH is the abbreviation for ethanol/drinking/alcohol use. The names of specific alcoholic beverages like beer, wine, champagne, vodka may also be used as abbreviations for ethanol/drinking/alcohol use) If the patient abuses alcohol, return A. If no information is given, return C. DO NOT use questionnaire scores (e.g. AUDIT-C, TAPS, PROMs Alcohol Use Screening Score) to determine alcohol status. Treat any alcohol-related questions and answers that appear under sections labeled PROMs, PROMIS, Patient-Reported Outcomes, or Alcohol Use Screening (for example, “How often do you have a drink containing alcohol?” or “How many drinks containing alcohol do you have on a typical day when you are drinking?”) as questionnaire data and ignore them. If the only information about alcohol use comes from questionnaire scores or questionnaire questions/answers, output C. If it says that “alcohol use as of [insert date]” is “Not Currently” or “No” but in the comments below there is note of a non-zero amount of alcohol (e.g., 1 per month, socially, rarely, sometimes, on special occasions, etc.) then the patient DOES drink alcohol. Only answer B if ALL information in the note indicates that the patient does NOT drink alcohol. Also, if both “yes” and “0 drinks” are written next to “alcohol use” in the note, then assume that the patient drinks alcohol because it says “yes”, despite the note of 0 drinks. Options are: A. Currently Drinks, B. Does not currently drink, C. No indication of alcohol status</t>
  </si>
  <si>
    <t>What is the alcohol status of this patient? (Note: ETOH is the abbreviation for ethanol/drinking/alcohol use. The names of specific alcoholic beverages like beer, wine, champagne, vodka may also be used as abbreviations for ethanol/drinking/alcohol use) If the patient abuses alcohol, return A. If no information is given, return C. DO NOT use questionnaire scores (e.g. AUDIT-C, TAPS, PROMs Alcohol Use Screening Score) to determine alcohol status. Treat any alcohol-related questions and answers that appear under sections labeled PROMs, PROMIS, Patient-Reported Outcomes, or Alcohol Use Screening (for example, “How often do you have a drink containing alcohol?” or “How many drinks containing alcohol do you have on a typical day when you are drinking?”) as questionnaire data and ignore them. If the only information about alcohol use comes from questionnaire scores or questionnaire questions/answers, output C. If it says that “alcohol use as of [insert date]” is “Not Currently” or “No” but there is also mention of a non-zero amount of alcohol consumption (e.g., 2 drinks per week, 1 per month, socially, rarely, sometimes, on special occasions, etc.) then the patient DOES drink alcohol and the answer should be A. Also, if both “yes” and “0 drinks” are written next to “alcohol use” in the note, then assume that the patient drinks alcohol because it says “yes”, despite the note of 0 drinks. Only answer B if ALL information in the note indicates that the patient does NOT drink alcohol. Options are: A. Currently Drinks, B. Does not currently drink, C. No indication of alcohol status</t>
  </si>
  <si>
    <t>What is the alcohol status of this patient?
(Note: ETOH is the abbreviation for ethanol/drinking/alcohol use. The names of specific alcoholic beverages like beer, wine, champagne, vodka may also be used as abbreviations for ethanol/drinking/alcohol use.)
If the patient abuses alcohol, has EtOH abuse, chronic alcohol use, EtOH use written in the present tense (e.g., “male with EtOH abuse”), has a positive serum or blood alcohol, or is experiencing alcohol withdrawal, return A.
If no information is given, return C.
DO NOT use questionnaire scores (e.g. AUDIT-C, TAPS, PROMs Alcohol Use Screening Score) to determine alcohol status. Treat any alcohol-related questions and answers that appear under sections labeled PROMs, PROMIS, Patient-Reported Outcomes, or Alcohol Use Screening (for example, “How often do you have a drink containing alcohol?” or “How many drinks containing alcohol do you have on a typical day when you are drinking?”) as questionnaire data and ignore them. If the only information about alcohol use comes from questionnaire scores or questionnaire questions/answers, output C.
If it says that “alcohol use as of [date]” is “Not Currently” or “No” but there is also mention of a non-zero amount of alcohol consumption (e.g., 2 drinks per week, 1 per month, socially, rarely, sometimes, on special occasions, etc.), then the patient DOES drink alcohol and the answer should be A.
If both “yes” and “0 drinks” are written next to alcohol use in the note, assume that the patient drinks alcohol because it says “yes”, despite the note of 0 drinks.
A negative serum alcohol result does NOT mean the patient does not drink alcohol and should not be used to assign non-drinking status.
If alcohol use (e.g., alcohol abuse, EtOH use) is mentioned only as past medical history or history of, and there is no indication of current use, return C.
Only answer B if ALL information in the note indicates that the patient does NOT drink alcohol.
Options are:
A. Currently Drinks
B. Does not currently drink
C. No indication of alcohol status</t>
  </si>
  <si>
    <t>What is the patient’s alcohol use status? (Note: ETOH is the abbreviation for ethanol/drinking/alcohol use). If the patient abuses alcohol, return A. If no information is given, return C. DO NOT use questionnaire scores (e.g. AUDIT-C, TAPS) to determine alcohol status. Options are: A. Currently Drinks, B. Does not currently drink, C. No indication of alcohol status</t>
  </si>
  <si>
    <t>What is the patient’s alcohol use status? (Note: ETOH is the abbreviation for ethanol/drinking/alcohol use. Mentions of specific alcoholic beverages (e.g., beer, wine, champagne, vodka) also indicate alcohol use.)
If the patient abuses alcohol, return A. If no information is given, return C.
How to Determine Alcohol Status:
Ignore questionnaire data entirely.
Do NOT use questionnaire scores (e.g., AUDIT-C, TAPS, PROMs, PROMIS, Alcohol Use Screening) to determine alcohol status.
Treat any alcohol-related questions or answers appearing under PROMs, PROMIS, Patient-Reported Outcomes, or Alcohol Use Screening sections as questionnaire data and ignore them.
If the only information about alcohol use comes from questionnaires or questionnaire Q/A, return C.
Classification Rules
A. Currently Drinks
Assign A if there is any indication the patient drinks alcohol, including:
- Explicit statements of alcohol use.
- Any non-zero amount or frequency (e.g., “2 drinks per week,” “socially,” “rarely,” “sometimes,” “on special occasions”).
- Conflicting documentation where alcohol use is marked “Yes” but listed as “0 drinks.”
- Documentation stating “alcohol use: Not currently” or “No” but elsewhere indicating any alcohol consumption.
B. Does Not Currently Drink
Assign B only if all information in the note consistently indicates that the patient does not drink alcohol, with no contradictory mentions.
C. No Indication of Alcohol Status
Assign C if:
- Alcohol use is not mentioned anywhere outside of ignored questionnaire data.
- Information is entirely absent or indeterminate. Options are: A. Currently Drinks, B. Does not currently drink, C. No indication of alcohol status</t>
  </si>
  <si>
    <t>antibiotic_duration</t>
  </si>
  <si>
    <t>['tetracycline',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</si>
  <si>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A. 0 days (no indication of antibiotic use), B. 1-15 days, C. 16-45 days, D. 46-135 days, E. 136+ days, F. Taken but dates unknown</t>
  </si>
  <si>
    <t>How many days total did the patient take {keyword}? Options are: A. 0 days (no indication of antibiotic use), B. 1-15 days, C. 16-45 days, D. 46-135 days, E. 136+ days, F. Taken but dates unknown</t>
  </si>
  <si>
    <t>How many days total did the patient take {keyword}? Round all values up to the nearest integer (i.e. 0.1 -&gt; 1). A. 0 days (no indication of antibiotic use), B. 1-15 days, C. 16-45 days, D. 46-135 days, E. 136+ days, F. Taken but dates unknown 
### Step 1. Did the patient take the antibiotic?
Ask:
**"Did the patient take {keyword}? If the antibiotic is listed as an allergy, consider as 'no indication of antibiotic use'. Options are A. yes, B. no"**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labels based on the duration:
  * **≤15 days** → label **B**
  * **16–45 days** → label **C**
  * **46–135 days** → label **D**
  * **&gt;135 days** → label **E**</t>
  </si>
  <si>
    <t xml:space="preserve">How many days total did the patient take {keyword}? Round all values up to the nearest integer (i.e. 0.1 -&gt; 1). A. 0 days (no indication of antibiotic use), B. 1-15 days, C. 16-45 days, D. 46-135 days, E. 136+ days, F. Taken but dates unknown 
Do NOT include amoxicillin-clavulanate when determining antibiotic duration. Amoxicillin-clavulanate is a different antibiotic and must be excluded. Only plain amoxicillin is included—do not treat amoxicillin-clavulanate as amoxicillin under any circumstance.Also exclude all ophthalmic formulations and all topical antibiotics; only systemic (oral or IV) antibiotics should be counted.
### Step 1. Did the patient take the antibiotic?
Ask:
**"Did the patient take {keyword}? If the antibiotic is listed as an allergy, consider as 'no indication of antibiotic use'. Options are A. yes, B. no"**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labels based on the duration:
  * **≤15 days** → label **B**
  * **16–45 days** → label **C**
  * **46–135 days** → label **D**
  * **&gt;135 days** → label **E**
</t>
  </si>
  <si>
    <t>How many days total did the patient take {keyword}? Round all values up to the nearest integer (i.e. 0.1 -&gt; 1). A. 0 days (no indication of antibiotic use), B. 1-15 days, C. 16-45 days, D. 46-135 days, E. 136+ days, F. Taken but dates unknown 
Do NOT include amoxicillin-clavulanate when determining antibiotic duration. Amoxicillin-clavulanate is a different antibiotic and must be excluded. Only plain amoxicillin is included—do not treat amoxicillin-clavulanate as amoxicillin under any circumstance.Also exclude all ophthalmic formulations and all topical antibiotics; only systemic (oral or IV) antibiotics should be counted.
### Step 1. Did the patient take the antibiotic?
Ask:
**"Did the patient take {keyword}? If the antibiotic is listed as an allergy, consider as 'no indication of antibiotic use'. Options are A. yes, B. no"**
Treat phrases such as “treated with,” “status post treatment with,” “rx’d,” “prescribed,” “course of,” or “prior treatments include” as evidence that the patient took the antibiotic, unless the note explicitly states it was not taken.
Conditional, instructional, or hypothetical statements (e.g., “if you have symptoms, take…”, “should take…”, “may take…”) do NOT indicate antibiotic use unless the note explicitly states the patient took the medication.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duration labels strictly based on the calculated number of days. Do NOT shorten or reinterpret durations based on typical antibiotic course length.
  * **≤15 days** → label **B**
  * **16–45 days** → label **C**
  * **46–135 days** → label **D**
  * **&gt;135 days** → label **E**</t>
  </si>
  <si>
    <t>How many days total did the patient take {keyword}? Round all values up to the nearest integer (i.e. 0.1 -&gt; 1). A. 0 days (no indication of antibiotic use), B. 1-15 days, C. 16-45 days, D. 46-135 days, E. 136+ days, F. Taken but dates unknown 
Do NOT include amoxicillin-clavulanate when determining antibiotic duration. Amoxicillin-clavulanate is a different antibiotic and must be excluded. Only plain amoxicillin is included—do not treat amoxicillin-clavulanate as amoxicillin under any circumstance.Also exclude all ophthalmic formulations and all topical antibiotics; only systemic (oral or IV) antibiotics should be counted.
### Step 1. Did the patient take the antibiotic?
Ask:
**"Did the patient take {keyword}? If the antibiotic is listed as an allergy, consider as 'no indication of antibiotic use'. Options are A. yes, B. no"**
Treat phrases such as “treated with,” “status post treatment with,” “rx’d,” “prescribed,” “course of,” or “prior treatments include” as evidence that the patient took the antibiotic, unless the note explicitly states it was not taken.
If {keyword} is listed with a dose with or without frequency/route (e.g., “100 mg,” “PO,” “BID,” “twice daily”) in the patient’s medication list, assessment, or plan, treat this as evidence the patient took {keyword} (yes) unless the note explicitly says it was not taken or never started.
Conditional, instructional, or hypothetical statements (e.g., “if you have symptoms, take…”, “should take…”, “may take…”) do NOT indicate antibiotic use unless the note explicitly states the patient took the medication.
If the note says “did not take,” “never started,” “declined,” or “not taking,” then the patient did NOT take {keyword} (no), even if it appears in a medication list.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duration labels strictly based on the calculated number of days. Do NOT shorten or reinterpret durations based on typical antibiotic course length.
  * **≤15 days** → label **B**
  * **16–45 days** → label **C**
  * **46–135 days** → label **D**
  * **&gt;135 days** → label **E**</t>
  </si>
  <si>
    <t>How many days total did the patient take {keyword}? Round all values up to the nearest integer (i.e. 0.1 -&gt; 1). A. 0 days (no indication of antibiotic use), B. 1-15 days, C. 16-45 days, D. 46-135 days, E. 136+ days, F. Taken but dates unknown 
Do NOT include amoxicillin-clavulanate when determining antibiotic duration. Amoxicillin-clavulanate is a different antibiotic and must be excluded. Only plain amoxicillin is included—do not treat amoxicillin-clavulanate as amoxicillin under any circumstance.Also exclude all ophthalmic formulations and all topical antibiotics; only systemic (oral or IV) antibiotics should be counted.
### Step 1. Did the patient take the antibiotic?
Ask:
**"Did the patient take {keyword}? If the antibiotic is listed as an allergy, consider as 'no indication of antibiotic use'. Options are A. yes, B. no"**
Treat phrases such as “treated with,” “status post treatment with,” “rx’d,” “prescribed,” “course of,” or “prior treatments include” as evidence that the patient took the antibiotic, unless the note explicitly states it was not taken.
Treat phrases such as “has tried,” “previously tried,” “trialed,” “failed,” “failing,” “nonresponse to,” “history of failing,” “added,” “started,” “commence,” “begin,” “initiated,” “D/C,” or “discontinued” {keyword} as evidence the patient took the antibiotic, unless the note explicitly states it was not taken or never started.
If {keyword} appears in “Prior treatments include” or “Has previously tried” sections, assume the patient took the antibiotic even if dose/duration is not specified.
If {keyword} is listed with a dose with or without frequency/route (e.g., “100 mg,” “PO,” “BID,” “twice daily”) in the patient’s medication list, assessment, or plan, treat this as evidence the patient took {keyword} (yes) unless the note explicitly says it was not taken or never started.
When deciding if {keyword} is listed with a dose, count “take 1 capsule/tablet” (with or without mg) and any frequency/route words (e.g., once daily, twice daily, BID, PO) as dose/frequency documentation.
Conditional, instructional, or hypothetical statements (e.g., “if you have symptoms, take…”, “should take…”, “may take…”) do NOT indicate antibiotic use unless the note explicitly states the patient took the medication.
If the note says “did not take,” “never started,” “declined,” or “not taking,” then the patient did NOT take {keyword} (no), even if it appears in a medication list.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duration labels strictly based on the calculated number of days. Do NOT shorten or reinterpret durations based on typical antibiotic course length.
  * **≤15 days** → label **B**
  * **16–45 days** → label **C**
  * **46–135 days** → label **D**
  * **&gt;135 days** → label **E**</t>
  </si>
  <si>
    <t>How many days total did the patient take {keyword}? Round all values up to the nearest integer (i.e. 0.1 -&gt; 1). A. 0 days (no indication of antibiotic use), B. 1-15 days, C. 16-45 days, D. 46-135 days, E. 136+ days, F. Taken but dates unknown 
Do NOT include amoxicillin-clavulanate when determining antibiotic duration. Amoxicillin-clavulanate (Amoxicillin/Potassium Clavulanate, Augmentin) is a different antibiotic and must be excluded. Only plain amoxicillin is included—do not treat amoxicillin-clavulanate as amoxicillin under any circumstance.Also exclude all ophthalmic formulations and all topical antibiotics; only systemic (oral or IV) antibiotics should be counted.
### Step 1. Did the patient take the antibiotic?
Ask:
**"Did the patient take {keyword}? If the antibiotic is listed as an allergy, consider as 'no indication of antibiotic use'. Options are A. yes, B. no"**
Treat phrases such as “treated with,” “status post treatment with,” “rx’d,” “prescribed,” “course of,” or “prior treatments include” as evidence that the patient took the antibiotic, unless the note explicitly states it was not taken.
Phrases such as “rx’d {keyword} x [duration]” (e.g., “rx’d bactrim x 2 weeks”) should ALWAYS be treated as evidence the patient took the antibiotic unless the note explicitly states it was not taken.
Treat phrases such as “has tried,” “previously tried,” “trialed,” “failed,” “failing,” “nonresponse to,” “history of failing,” “added,” “started,” “commence,” “begin,” “initiated,” “D/C,” or “discontinued” {keyword} as evidence the patient took the antibiotic, unless the note explicitly states it was not taken or never started.
Treat phrases such as “on {keyword},” “taking {keyword},” “currently on,” “completed,” “finished,” “received,” “was given,” “administered,” “discharged on,” “sent home on,” or “s/p {keyword}” as evidence the patient took the antibiotic, unless the note explicitly states it was not taken.
If {keyword} appears in “Prior treatments include” or “Has previously tried” sections, assume the patient took the antibiotic even if dose/duration is not specified. 
If {keyword} is listed with a dose with or without frequency/route (e.g., “100 mg,” “PO,” “BID,” “twice daily”) in the patient’s medication list, assessment, or plan, treat this as evidence the patient took {keyword} (yes) unless the note explicitly says it was not taken or never started.
When deciding if {keyword} is listed with a dose, count “take 1 capsule/tablet” (with or without mg) and any frequency/route words (e.g., once daily, twice daily, BID, PO) as dose/frequency documentation.
If {keyword} appears in a medication table with a dispense quantity (e.g., number of capsules/tablets) AND a Sig (dose/frequency), this is evidence the patient took the antibiotic, even if the medication is marked as “discontinued.” Discontinued indicates prior use, not non-use, unless the note explicitly states it was never started.
Conditional, instructional, or hypothetical statements (e.g., “if you have symptoms, take…”, “should take…”, “may take…”) do NOT indicate antibiotic use unless the note explicitly states the patient took the medication.
If there is strong evidence the patient took {keyword} (e.g., prior treatments, rx’d with duration, medication table with Sig/dispense) but the exact duration cannot be determined, classify as F (“taken but dates unknown”), not A.
If the note says “did not take,” “never started,” “declined,” or “not taking,” then the patient did NOT take {keyword} (no), even if it appears in a medication list.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duration labels strictly based on the calculated number of days. Do NOT shorten or reinterpret durations based on typical antibiotic course length.
  * **≤15 days** → label **B**
  * **16–45 days** → label **C**
  * **46–135 days** → label **D**
  * **&gt;135 days** → label **E**</t>
  </si>
  <si>
    <t>How many days total did the patient take {keyword}? Round all values up to the nearest integer (i.e. 0.1 -&gt; 1). A. 0 days (no indication of antibiotic use), B. 1-15 days, C. 16-45 days, D. 46-135 days, E. 136+ days, F. Taken but dates unknown 
Do NOT include amoxicillin-clavulanate when determining antibiotic duration. Amoxicillin-clavulanate (Amoxicillin/Potassium Clavulanate, Augmentin) is a different antibiotic and must be excluded. Only plain amoxicillin is included—do not treat amoxicillin-clavulanate as amoxicillin under any circumstance.Also exclude all ophthalmic formulations and all topical antibiotics; only systemic (oral or IV) antibiotics should be counted.
### Step 1. Did the patient take the antibiotic?
Ask:
**"Did the patient take {keyword}? If the antibiotic is listed as an allergy, consider as 'no indication of antibiotic use'. Options are A. yes, B. no"**
Treat phrases such as “treated with,” “status post treatment with,” “rx’d,” “prescribed,” “course of,” or “prior treatments include” as evidence that the patient took the antibiotic, unless the note explicitly states it was not taken.
Phrases such as “rx’d {keyword} x [duration]” (e.g., “rx’d bactrim x 2 weeks”) should ALWAYS be treated as evidence the patient took the antibiotic unless the note explicitly states it was not taken.
Treat phrases such as “has tried,” “previously tried,” “trialed,” “failed,” “failing,” “nonresponse to,” “history of failing,” “added,” “started,” “commence,” “begin,” “initiated,” “D/C,” or “discontinued” {keyword} as evidence the patient took the antibiotic, unless the note explicitly states it was not taken or never started.
Treat phrases such as “on {keyword},” “taking {keyword},” “currently on,” “completed,” “finished,” “received,” “was given,” “administered,” “discharged on,” “sent home on,” or “s/p {keyword}” as evidence the patient took the antibiotic, unless the note explicitly states it was not taken.
If {keyword} appears in “Prior treatments include” or “Has previously tried” sections, assume the patient took the antibiotic even if dose/duration is not specified. 
If {keyword} is listed with a dose with or without frequency/route (e.g., “100 mg,” “PO,” “BID,” “twice daily”) in the patient’s medication list, assessment, or plan, treat this as evidence the patient took {keyword} (yes) unless the note explicitly says it was not taken or never started.
When deciding if {keyword} is listed with a dose, count “take 1 capsule/tablet” (with or without mg) and any frequency/route words (e.g., once daily, twice daily, BID, PO) as dose/frequency documentation.
If {keyword} appears in a medication table with a dispense quantity (e.g., number of capsules/tablets) AND a Sig (dose/frequency), this is evidence the patient took the antibiotic, even if the medication is marked as “discontinued.” Discontinued indicates prior use, not non-use, unless the note explicitly states it was never started.
If {keyword} appears only in a “reason for discontinuation” field (or similar documentation explaining why the medication was stopped), this does NOT mean the patient did not take {keyword}. It indicates the patient is not currently taking it. If this is the only evidence of {keyword} in the note (i.e., no duration, no course length, no pill counts/refills/frequency, and no narrative statement of use), classify as F (taken but dates unknown). Only classify as no use (Step 1 = no, final label A) if the note explicitly states the patient did not take, never started, declined, or is not taking {keyword}.
Conditional, instructional, or hypothetical statements (e.g., “if you have symptoms, take…”, “should take…”, “may take…”) do NOT indicate antibiotic use unless the note explicitly states the patient took the medication.
If there is strong evidence the patient took {keyword} (e.g., prior treatments, rx’d with duration, medication table with Sig/dispense) but the exact duration cannot be determined, classify as F (“taken but dates unknown”), not A.
If the note says “did not take,” “never started,” “declined,” or “not taking,” then the patient did NOT take {keyword} (no), even if it appears in a medication list.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duration labels strictly based on the calculated number of days. Do NOT shorten or reinterpret durations based on typical antibiotic course length.
  * **≤15 days** → label **B**
  * **16–45 days** → label **C**
  * **46–135 days** → label **D**
  * **&gt;135 days** → label **E**</t>
  </si>
  <si>
    <t xml:space="preserve">How long did the patient take the {abx}? Round all values up to the nearest integer (i.e. 0.1 -&gt; 1). A. 0 days (no indication of antibiotic use), B. 1-15 days, C. 16-45 days, D. 46-135 days, E. 136+ days, F. Taken but dates unknown 
### Step 1. Did the patient take the antibiotic?
Ask:
**"Did the patient take {keyword}? If the antibiotic is listed as an allergy, consider as 'no indication of antibiotic use'. Options are A. yes, B. no"**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labels based on the duration:
  * **≤15 days** → label **B**
  * **16–45 days** → label **C**
  * **46–135 days** → label **D**
  * **&gt;135 days** → label **E**
---
### Final Output
For each patient, record:
* Start date (if known)
* End date (if known)
* Days on antibiotic (if calculable)
* Whether they took the antibiotic (**yes/no**)
* The final label (**A–F**, as determined above)
</t>
  </si>
  <si>
    <t xml:space="preserve">How long did the patient take the {abx}? Round all values up to the nearest integer (i.e. 0.1 -&gt; 1). A. 0 days (no indication of antibiotic use), B. 1-15 days, C. 16-45 days, D. 46-135 days, E. 136+ days, F. Taken but dates unknown 
### Step 1. Did the patient take the antibiotic?
Ask:
**"Did the patient take {keyword}? If the antibiotic is listed as an allergy, consider as 'no indication of antibiotic use'. Options are A. yes, B. no"**
* If the answer is **(yes)** → continue to Step 2.
* If the answer is **(no)** → set the final label to **A ("no indication of antibiotic use")** and stop.
Mentions such as “status post treatment with {keyword},” “previously treated with {keyword},” “has tried {keyword},” “received {keyword},” or “was treated with {keyword}” indicate that the patient DID take the antibiotic, even if the timing or duration is not specified.
* In these cases, do NOT label A.
If {keyword} is mentioned only as a future, conditional, or hypothetical consideration (e.g., “can consider {keyword},” “may start {keyword},” “would treat with {keyword} if worsening”), then the patient did NOT take the antibiotic → label A.
Ignore amoxicillin-clavulanate entirely when evaluating {keyword}.
* If {keyword} appears only as part of amoxicillin-clavulanate, treat this as no antibiotic use → label A.
Ignore all ophthalmic and topical antibiotics. Count only oral or IV antibiotics.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Any PRN, conditional, or discretionary instruction (e.g., “PRN,” “as needed,” “use only if,” “use only for severe symptoms,” “if traveler’s diarrhea”) means:
* The patient may have taken the antibiotic, but
* The actual duration cannot be determined
* → Always answer F, even if pill counts or standard dosing instructions are present.
Explicit durations expressed in weeks must be converted exactly:
* “2 weeks” = 14 days (do not round up to 15 or treat as a range)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When pill counts are used to infer duration:
* Each pill counts as one day only if frequency is unknown
* Example: “21 capsules, no refills, no frequency” → 21 days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labels based on the duration:
  * **≤15 days** → label **B**
  * **16–45 days** → label **C**
  * **46–135 days** → label **D**
  * **&gt;135 days** → label **E**
If the record indicates past or resolved use of {keyword} (e.g., “previously tried,” “status post treatment,” “history of treatment with”), but no duration information is available, then:
* The correct label is F (taken but duration unknown), not A.
---
### Final Output
For each patient, record:
* Start date (if known)
* End date (if known)
* Days on antibiotic (if calculable)
* Whether they took the antibiotic (**yes/no**)
* The final label (**A–F**, as determined above)
</t>
  </si>
  <si>
    <t>How long did the patient take the {abx}?
Round all values up to the nearest integer (i.e. 0.1 → 1).
Labels:
A. 0 days (no indication of antibiotic use)
B. 1–15 days
C. 16–45 days
D. 46–135 days
E. 136+ days
F. Taken but duration unknown
Ignore amoxicillin-clavulanate entirely when evaluating {abx}.
If {abx} appears only as part of amoxicillin-clavulanate, treat this as no antibiotic use.
Ignore all ophthalmic and topical formulations. Count oral or IV antibiotics only.
Medications listed under “Discontinued Medications” indicate prior use unless the note explicitly states the medication was never started.
Instructions such as “until finished” WITHOUT a pill count or dispense quantity mean the duration cannot be determined → label F.
Phrases such as “history of failing,” “previously tried,” “prior treatments include,” or “status post treatment” always indicate the patient took the antibiotic, even if no timing or dose information is available → proceed to duration steps and default to F if unknown.
Do NOT infer standard course lengths (e.g., Z-Pak = 5 days). Use only explicit duration or calculable pill counts.
If {abx} appears ONLY as part of amoxicillin-clavulanate (Augmentin), it must be treated as no antibiotic use → label A, regardless of dose, quantity, or dates.
Step 1. Did the patient take the antibiotic?
Ask:
“Did the patient take {abx}?”
Options: yes / no
Treat the patient as having taken {abx} (yes) if any of the following are present unless the note explicitly states it was never started or not taken:
“treated with,” “status post treatment with,” “previously treated with”
“has tried,” “previously tried,” “trialed,” “failed,” “nonresponse to”
“started,” “initiated,” “added,” “began,” “commenced”
“on {abx},” “taking,” “received,” “was given,” “administered”
“completed,” “finished,” “discharged on,” “sent home on”
Appears in prior treatments, assessment, or plan
Listed in a medication list or table with any of the following:
a dose (e.g., mg OR “take 1 tablet/capsule”)
frequency or route (e.g., BID, daily, PO)
dispense quantity
(Medications marked “discontinued” still count as prior use unless explicitly stated as never started.)
Conditional, instructional, or hypothetical statements do NOT indicate use:
“may start,” “can consider,” “would treat with,” “if symptoms worsen”
If the note explicitly states:
“never started,” “did not take,” “declined,” or “not taking”
→ answer no
If no → final label A and stop.
If yes → continue to Step 2.
Step 2. Is the total duration explicitly stated?
Ask:
“How many days total did the patient take {abx}?”
Use durations explicitly written in the note:
“5 days” → 5
“1 week” → 7
“1 month” → 30
Assume 30 days per month.
If the medication is PRN, as-needed, conditional, or prescribed for hypothetical future scenarios:
The patient may have taken the antibiotic
The duration cannot be determined
→ answer F
If no explicit duration is provided → answer NA and continue to Step 3.
Step 3. Calculate duration from pill counts, refills, and frequency
If duration is not explicitly stated, calculate using:
(number of pills × (1 + number of refills)) ÷ pills per day
Rules:
Do NOT assume once-daily dosing unless frequency is unknown
Refills are in addition to the original prescription
BID = twice daily
If taken intermittently (e.g., once weekly), count only days actually taken
If the duration can be calculated → record the number of days.
If insufficient information → answer NA and continue.
Step 4. Pill count only (frequency and/or refills unknown)
If pill count is available but frequency and/or refills are not:
Assume 1 pill per day
Example: “28 pills” → 28 days
If PRN or conditional → answer F
If still insufficient information → answer NA
Step 5. Duration cannot be determined
If the patient clearly took {abx} but:
No explicit duration
No usable pill counts
No frequency or refill information
→ final label F (taken but duration unknown)
Step 6. Assign final label
If calculated duration is missing, negative, or implausible (&gt;1,000,000 days):
→ F
Otherwise:
≤15 days → B
16–45 days → C
46–135 days → D
135 days → E</t>
  </si>
  <si>
    <t>How long did the patient take the {abx}?
Round all values up to the nearest integer (i.e. 0.1 → 1).
Labels:
A. 0 days (no indication of antibiotic use)
B. 1–15 days
C. 16–45 days
D. 46–135 days
E. 136+ days
F. Taken but duration unknown
- Ignore amoxicillin-clavulanate entirely when evaluating {abx}.
- If {abx} appears only as part of amoxicillin-clavulanate, treat this as no antibiotic use.
- If {abx} is listed as an allergy or adverse reaction (e.g., GI Upset), treat as NO antibiotic use → label A.
- Ignore all ophthalmic and topical formulations. Count oral or IV antibiotics only.
- Medications listed under “Discontinued Medications” indicate prior use unless the note explicitly states the medication was never started.
- Instructions such as “until finished” WITHOUT a pill count or dispense quantity mean the duration cannot be determined → label F.
- Phrases such as “history of failing,” “previously tried,” “prior treatments include,” or “status post treatment” always indicate the patient took the antibiotic, even if no timing or dose information is available → proceed to duration steps and default to F if unknown.
- Do NOT infer standard course lengths (e.g., Z-Pak = 5 days). Use only explicit duration or calculable pill counts.
- If {abx} appears ONLY as part of amoxicillin-clavulanate (Augmentin), it must be treated as no antibiotic use → label A, regardless of dose, quantity, or dates.
- Do NOT use dates alone (start date, end date, active date ranges) to infer duration.
- If {abx} appears ONLY as part of conditional instructions (e.g., If you have fever, abdominal pain, chills take the ciprofloxacin or azithromycin) → label A, regardless of dose, quantity, or dates.
- If {abx} appears ONLY as an antibiotic the patient failed (e.g., history of failing minocycline) without dose, quantity, or dates → label F
Step 1. Did the patient take the antibiotic?
- Ask:
“Did the patient take {abx}?”
Options: yes / no
Treat the patient as having taken {abx} (yes) if any of the following are present unless the note explicitly states it was never started or not taken:
- “treated with,” “status post treatment with,” “previously treated with”
- “has tried,” “previously tried,” “trialed,” “failed,” “nonresponse to”
- “started,” “initiated,” “added,” “began,” “commenced”
- “on {abx},” “taking,” “received,” “was given,” “administered”
- “completed,” “finished,” “discharged on,” “sent home on”
- Appears in prior treatments, assessment, or plan
- Listed in a medication list or table with any of the following:
- a dose (e.g., mg OR “take 1 tablet/capsule”)
- frequency or route (e.g., BID, daily, PO)
- dispense quantity
- Medications marked “discontinued” still count as prior use unless explicitly stated as never started.
Conditional, instructional, or hypothetical statements do NOT indicate use:
- “may start,” “can consider,” “would treat with,” “if symptoms worsen”
If the note explicitly states:
- “never started,” “did not take,” “declined,” or “not taking”
→ answer no
Decision:
If no → final label A and stop.
If yes → continue to Step 2.
Step 2. Is the total duration explicitly stated?
- Ask:
“How many days total did the patient take {abx}?”
Use durations explicitly written in the note:
- “5 days” → 5
- “1 week” → 7
- “1 month” → 30
Assume 30 days per month.
If a medication is listed as PRN, “as needed,” or conditional without explicit documentation that it was administered or taken, treat as taken but duration unknown (F), not B/C/D/E.
If the medication is PRN, as-needed, conditional, or prescribed for hypothetical future scenarios:
- The patient may have taken the antibiotic
- The duration cannot be determined
→ answer F
If no explicit duration is provided → answer NA and continue to Step 3.
Step 3. Calculate duration from pill counts, refills, and frequency
- If duration is not explicitly stated, calculate using:
(number of pills × (1 + number of refills)) ÷ pills per day
Rules:
- Do NOT assume once-daily dosing unless frequency is unknown
- Refills are in addition to the original prescription
- BID = twice daily
- If taken intermittently (e.g., once weekly), count only days actually taken
- Do NOT use start dates, end dates, medication active dates, or duration between dates to estimate days on antibiotic under any circumstance. Dates alone do not imply duration.
Decision:
- If the duration can be calculated → record the number of days.
- If insufficient information → answer NA and continue.
Step 4. Pill count only (frequency and/or refills unknown)
- If pill count is available but frequency and/or refills are not:
Assume 1 pill per day
Example: “28 pills” → 28 days
Decision:
- If PRN or conditional → answer F
- If still insufficient information → answer NA
Step 5. Duration cannot be determined
- If the patient clearly took {abx} but:
No explicit duration
No usable pill counts
No frequency or refill information
→ final label F (taken but duration unknown)
Step 6. Assign final label
If calculated duration is missing, negative, or implausible (&gt;1,000,000 days):
→ F
Otherwise:
≤15 days → B
16–45 days → C
46–135 days → D
135 days → E</t>
  </si>
  <si>
    <t>antibiotics</t>
  </si>
  <si>
    <t>A. Yes, B. No</t>
  </si>
  <si>
    <t>Did the patient take any antibiotics? Options are: A. Yes, B. No</t>
  </si>
  <si>
    <t>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Options are: A. Yes, B. No</t>
  </si>
  <si>
    <t>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Do NOT include amoxicillin-clavulanate. Amoxicillin-clavulanate is NOT the same antibiotic as amoxicillin which IS included. Options are: A. Yes, B. No</t>
  </si>
  <si>
    <t>Does this medical record indicate that the patient took any of the following antibiotics, ignoring those mentioned as allergic or allergens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Do NOT include amoxicillin-clavulanate. Amoxicillin-clavulanate is NOT the same antibiotic as amoxicillin which IS included. Do NOT include ophthalmic solutions or topical antibiotics. Options are: A. Yes, B. No</t>
  </si>
  <si>
    <t>Does this medical record indicate that the patient took any of the following antibiotics, ignoring those mentioned as allergic or allergens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Do NOT include amoxicillin-clavulanate. Amoxicillin-clavulanate is NOT the same antibiotic as amoxicillin which IS included. Do NOT include ophthalmic solutions or topical antibiotics. Culture with bacteria showing resistance to one of these antibiotics does NOT mean the patient took the antibiotic; if this is the only reference to the antibiotic then answer is B. Options are: A. Yes, B. No</t>
  </si>
  <si>
    <t>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Ignore those mentioned as topical (i.e. cream, ointment) or ophthalmic solution as well. Options are: A. Yes, B. No</t>
  </si>
  <si>
    <t>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Ignore those mentioned as topical (i.e. cream, ointment) or ophthalmic solution as well. Ignore amoxicillin-clavulanate. DO NOT consider 'amoxicillin-clavulanate' the same as 'amoxicillin' which is a different antibiotic. Options are: A. Yes, B. No</t>
  </si>
  <si>
    <t>cancer_cancer</t>
  </si>
  <si>
    <t>['cancer', 'carcinoma', 'melanoma', 'mesothelioma', 'sarcoma', 'lymphoma', 'leukemia', 'myeloma', 'malignant', 'tumor', 'myelodysplastic']</t>
  </si>
  <si>
    <t>Does the patient have cancer? Options are: A. Yes, B. No</t>
  </si>
  <si>
    <t>Does this medical record indicate that the patient has a history of cancer? Only consider tumors as cancer if they are malignant. Pre-cancer, atypia, dysplasia, pre-malignant, non-malignant, or benign conditions are not considered cancer. Cancer screenings do not necessarily indicate cancer. Ignore family history of cancer (e.g. mother, father, sister, brother, etc.). Options are: A. Yes, B. No</t>
  </si>
  <si>
    <t>Does this medical record indicate that the patient has a history of cancer? Only consider tumors as cancer if they are malignant. Pre-cancer, atypia, dysplasia, pre-malignant, non-malignant, or benign conditions are not considered cancer. Cancer screenings do not necessarily indicate cancer. Ignore family history of cancer (e.g. mother, father, sister, brother, etc.). If patient has had excision of cancer or other surgery on cancer then that indicates they have a history of cancer. Options are: A. Yes, B. No</t>
  </si>
  <si>
    <t>Does the patient have cancer? Options are: A. Yes, B. No
Only consider tumors as cancer if they are malignant. Pre-cancer, atypia, dysplasia, pre-malignant, non-malignant, benign conditions, or carcinoma in situ without invasion are NOT considered cancer. Cancer screening, screening results, or “rule-out” language do NOT indicate cancer. “Likely cancer,” “may have cancer,” or “could be cancer” are NOT cancer diagnoses.
Always verify that the cancer diagnosis refers to the patient. Ignore family history of cancer (e.g., mother, father, sister, brother, or other relatives) and any cancer attributed to non-patient individuals.
If the note explicitly documents cancer diagnosis, treatment, or history of cancer (including excision, resection, chemotherapy, radiation, or cancer-directed surgery), this indicates the patient HAS cancer unless the note explicitly states the diagnosis was ruled out.</t>
  </si>
  <si>
    <t>*</t>
  </si>
  <si>
    <t>cancer_date_free</t>
  </si>
  <si>
    <t>MGB w/o Labels Ignore</t>
  </si>
  <si>
    <t>['Oropharyngeal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</si>
  <si>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t>
  </si>
  <si>
    <t>When was the patient declared cancer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t>
  </si>
  <si>
    <t>cancer_date_of_diagnosis</t>
  </si>
  <si>
    <t>MGB Synthetic</t>
  </si>
  <si>
    <t>If the patient has cancer but no diagnosis date is specified, return U. If the record gives no indication of cancer, return X If only the month and year are given, assume the date was the 15th. If only the year is given, assume the date was July 2. Answer in the format YYYYMMDD, including leading zeros.</t>
  </si>
  <si>
    <t>When was the patient diagnosed with cancer {keyword}? If the patient has cancer but no diagnosis date is specified, return U. If the record gives no indication of cancer, return X If only the month and year are given, assume the date was the 15th. If only the year is given, assume the date was July 2. Answer in the format YYYYMMDD, including leading zeros.</t>
  </si>
  <si>
    <t xml:space="preserve">When was the patient diagnosed with cancer {keyword}? If the patient has cancer but no diagnosis date is specified, return U. If the record gives no indication of cancer, return X If only the month and year are given, assume the date was the 15th. If only the year is given, assume the date was July 2. Answer in the format YYYYMMDD, including leading zeros.
Always verify that a {keyword} diagnosis refers to the patient.
If {keyword} is mentioned only in family history or family medical history, is listed under the header “family history” or “family medical history,” or is explicitly assigned to a non-patient (e.g., mother, father, sister, brother, aunt, uncle, grandparent, or other relative), then the patient does NOT have {keyword} and the answer should be X. </t>
  </si>
  <si>
    <t>When was the patient diagnosed with {keyword} cancer?
Output rules:
Return the diagnosis date as YYYYMMDD (with leading zeros).
If the patient has {keyword} but no diagnosis date is specified anywhere, return U.
If the record gives no indication the patient has {keyword}, return X.
If only month+year are given, assume the date is the 15th.
If only year is given, assume the date is July 2.
Attribution / patient-only rule (critical):
Always verify {keyword} refers to the patient.
If {keyword} is mentioned only in family history (including under headers “Family History” / “Family Medical History”) or is explicitly assigned to a non-patient (mother/father/sibling/etc.), then the patient does not have {keyword} → return X.
Multiple diagnoses of the same cancer type:
If the patient has more than one diagnosis of the same cancer type {keyword} (e.g., melanoma in different sites; left breast then right breast):
Identify all occurrences of {keyword} cancer diagnoses for the patient.
Use the earliest diagnosis date among them as the official date of diagnosis.
If some occurrences have dates and others don’t, use the earliest available dated occurrence.
If none of the occurrences have any date, return U.
Exclusions / non-diagnosis mentions (to reduce false positives):
Do not treat the following as a confirmed diagnosis unless the record explicitly states the patient has/was diagnosed with {keyword}: “rule out,” “concern for,” “screening for,” “risk of,” “family history of,” “genetic risk,” or “negative for.”</t>
  </si>
  <si>
    <t>When was the patient diagnosed with {keyword} cancer?
Return the diagnosis date as YYYYMMDD (with leading zeros).
If the patient clearly has {keyword} cancer but no diagnosis date is stated anywhere, return U.
If there is no evidence the patient has {keyword} cancer, return X.
Date normalization rules
If only month and year are given, assume the date is the 15th of that month.
If only the year is given, assume the date is July 2 of that year.
Do NOT invent dates. Do NOT guess dates.
CRITICAL PATIENT-ATTRIBUTION RULE (highest priority)
Only count {keyword} cancer if it is explicitly diagnosed in the patient.
If {keyword} appears only in:
Family History or Family Medical History sections
Tables with columns such as Relation, Mother, Father, Grandmother, Grandfather, Aunt, Uncle, Cousin
Phrases like “mother with,” “father with,” “maternal,” “paternal,” “family history of,” “FHx,” “relative with”
→ The patient does NOT have {keyword} cancer. Return X.
Family history entries must be completely ignored, even if a date is present.
What counts as a confirmed patient diagnosis
Only treat {keyword} as diagnosed if the note explicitly states that the patient:
“has,” “was diagnosed with,” “biopsy showed,” “pathology confirmed,” or “history of” {keyword} cancer
Do NOT treat the following as diagnoses:
“rule out,” “concern for,” “screening for,” “risk of,” “genetic risk,” “negative for,” or “family history of”
Procedure-only statements without diagnosis (see below)
PROCEDURE DATE ≠ DIAGNOSIS DATE (critical)
Do NOT use procedure or treatment dates as diagnosis dates unless the note explicitly says the diagnosis occurred on that date.
Examples that DO NOT establish diagnosis date by themselves:
“ED&amp;C 5/2013”
“s/p excision”
“Mohs on 6/27/2016”
“resection,” “biopsy,” “treated with,” “status post”
Only use a procedure date if the note explicitly links it to diagnosis, e.g.:
“diagnosed on biopsy dated 5/2013”
“pathology from 5/2013 showed {keyword}”
If a diagnosis is mentioned but only a procedure date is given without explicit linkage, return U.
Multiple diagnoses of the same cancer type
If the patient has more than one diagnosis of {keyword} cancer (e.g., different sites or laterality):
Identify all patient-level diagnoses
Use the earliest diagnosis date
If some diagnoses have dates and others do not, use the earliest dated diagnosis
If none have dates, return U
Final safety rules (to prevent hallucinations)
Never fabricate a date
Never infer diagnosis date from encounter date
Never use family history dates
If unsure, return U
If no patient cancer, return X</t>
  </si>
  <si>
    <t>When was the patient diagnosed with cancer {keyword}? If the patient has cancer but no diagnosis date is specified, return U. If the record gives no indication of cancer, return X. If cancer {keyword} is indicated as part of family history (e.g. mother, father, sister, brother, etc.), return X. If only the month and year are given, assume the date was the 15th. If only the year is given, assume the date was July 2. Answer in the format YYYYMMDD, including leading zeros.</t>
  </si>
  <si>
    <t>X --&gt; U, Row 136
1) History of melanoma (0.23mm/II) on the right upper mid back s/p reexcision 4/2012   and MMIS on the right
upper back s/p reexcision 12/2013
20200702 --&gt; 20200702, Row 71</t>
  </si>
  <si>
    <t>https://partnershealthcare-my.sharepoint.com/:x:/r/personal/mtoles_bwh_harvard_edu/Documents/acne%20validation/val_ds/Validation%20study%20-%20Folder%20for%20Dorsa%20and%20James%20to%20work%20on!/cancer_date_of_diagnosis/cancer_date_of_diagnosis_chunks.xlsx?d=w41d8c069c80a4685ab051d314d472128&amp;csf=1&amp;web=1&amp;e=qqSMG4</t>
  </si>
  <si>
    <t>cancer_family_any</t>
  </si>
  <si>
    <t>Does the patient have any family history of cancer? Options are: A. Yes, B. No</t>
  </si>
  <si>
    <t>B --&gt; A, Row 154
B --&gt; A, Row 181</t>
  </si>
  <si>
    <t>https://partnershealthcare-my.sharepoint.com/:x:/r/personal/mtoles_bwh_harvard_edu/Documents/acne%20validation/val_ds/Validation%20study%20-%20Folder%20for%20Dorsa%20and%20James%20to%20work%20on!/cancer_family_any/cancer_family_any_chunks.xlsx?d=w84785a57d98943eabeca7b3a199414b5&amp;csf=1&amp;web=1&amp;e=oHB17v</t>
  </si>
  <si>
    <t>cancer_maximum_stage</t>
  </si>
  <si>
    <t>A. Stage 0, B. Stage I, C. Stage II or III, D. Stage IV, E. Cancer present but maximum stage unknown, F. Patient does not have cancer</t>
  </si>
  <si>
    <t>What is the maximum stage the patient’s {keyword} reached? Options are: A. Stage 0, B. Stage I, C. Stage II or III, D. Stage IV, E. Cancer present but maximum stage unknown, F. Patient does not have cancer</t>
  </si>
  <si>
    <t>What is the maximum stage of the patient's earliest {keyword} diagnosis? Pre-cancer, atypia, dysplasia, pre-malignant, non-malignant, or benign conditions are not considered cancer. “Likely cancer,” “may have cancer,” “rule out cancer,” or “could be cancer” are not cancer diagnoses.
If the note references multiple cancers of the same type ({keyword}) (e.g., melanoma of arm and melanoma of leg; right and left breast cancer), identify all cancers of that type → select the earliest diagnosis → use the highest stage documented for that earliest diagnosis.
If {keyword} is described as “negative” or “no evidence of {keyword},“ the patient does NOT have {keyword}. Do not classify negative results as cancer.
If {keyword} appears only in the context of screening (e.g., “{keyword} screening,” “screen for {keyword}”), this does NOT indicate cancer. Do not classify screening as cancer.
If {keyword} is mentioned only in family history (e.g., mother, father, sister, brother, grandparent, relative), the patient does NOT have {keyword}. Never classify family history as a patient diagnosis.
Ignore negative results, screening, and family-history references entirely when determining whether the patient has {keyword}. Only classify cancer when the note clearly documents a diagnosis for the patient.
Stage 0 = in situ / non-invasive / carcinoma in situ.
Stage I = localized.
Stage II/III = locally advanced or regional spread.
Stage IV = distant metastatic disease.
Other notes about staging:
- "Grade" does not mean "stage". For example, grade 2-3 cancer is NOT stage 2-3 cancer. Do not use grade to determine cancer stage. 
- Metastasis to regional lymph nodes or nearby structures does not automatically mean Stage IV. These findings may represent Stage II/III (regional disease) or Stage IV (distant metastasis), depending on the context. The wording “local metastasis" or “lymph node with metastatic cancer” often indicates regional spread, not distant disease.
- Distant metastatic disease qualifies as Stage IV.
- If the cancer is documented as “metastatic {keyword},” this usually indicates Stage IV unless the note clearly contradicts distant spread.
- Stage I: infiltrating or invasive cancer that is fully confined to the primary organ with no lymph node involvement and no spread beyond the primary organ.
- Stage II/III: cancer extending beyond the primary organ or involving regional lymph nodes, but without distant metastasis.
Options are:
A. Stage 0
B. Stage I
C. Stage II or III
D. Stage IV
E. Cancer present but maximum stage unknown
F. Patient does not have cancer</t>
  </si>
  <si>
    <t>What is the maximum stage of the patient's earliest {keyword} diagnosis? Pre-cancer, atypia, dysplasia, pre-malignant, non-malignant, or benign conditions are not considered cancer. “Likely cancer,” “may have cancer,” “rule out cancer,” or “could be cancer” are not cancer diagnoses.
If the note references multiple cancers of the same type ({keyword}) (e.g., melanoma of arm and melanoma of leg; right and left breast cancer), identify all cancers of that type → select the earliest diagnosis → use the highest stage documented for that earliest diagnosis.
If {keyword} is described as “negative” or if there is “no evidence of {keyword},” the patient does NOT have {keyword}. Do not classify negative findings as patient cancer. Similarly, phrases such as “no evidence of metastasis,” “no signs of metastasis,” “no metastatic disease,” or “metastasis not identified” indicate the absence of metastasis and must NOT be used to assign Stage IV.
If {keyword} appears only in the context of screening (e.g., “{keyword} screening,” “screen for {keyword}”), this does NOT indicate cancer. Do not classify screening as patient cancer.
Always verify that a {keyword} diagnosis belongs to the patient. If {keyword} is mentioned only in “family history” or “family medical history,” or is explicitly assigned to a non-patient (e.g., mother, father, sibling, aunt, uncle, grandparent, or other relative), then the patient does NOT have {keyword} and must not be classified as having cancer.
Diagnoses listed under the patient’s “past medical history,” “problem list,” “assessment,” or “diagnosis” sections generally belong to the patient and may be used for classification.
Ignore negative results, screening, and family-history references entirely when determining whether the patient has {keyword}. Only classify cancer when the note clearly documents a diagnosis for the patient.
Stage 0 = in situ / non-invasive / carcinoma in situ.
Stage I = localized.
Stage II/III = locally advanced or regional spread.
Stage IV = distant metastatic disease.
Other notes about staging:
- "Grade" does not mean "stage". For example, grade 2-3 cancer is NOT stage 2-3 cancer. Do not use grade to determine cancer stage. 
- Distant metastatic disease qualifies as Stage IV.
- Metastasis to nearby lymph nodes or adjacent structures does not automatically indicate Stage IV. These findings may represent Stage II/III (regional disease) or Stage IV (distant metastasis), depending on context. Phrases such as “local metastasis” cab indicate regional spread rather than distant disease. However, if the cancer is explicitly described as “metastatic {keyword}” (including phrasing such as “metastatic {keyword} involving lymph nodes”), this should be classified as Stage IV unless the note clearly states that the disease is confined to regional lymph nodes only and is not distant.
- Stage I: infiltrating or invasive cancer that is fully confined to the primary organ with no lymph node involvement and no spread beyond the primary organ.
- Stage II/III: cancer extending beyond the primary organ or involving regional lymph nodes, but without distant metastasis.
Options are:
A. Stage 0
B. Stage I
C. Stage II or III
D. Stage IV
E. Cancer present but maximum stage unknown
F. Patient does not have cancer</t>
  </si>
  <si>
    <t>What is the maximum stage of the patient's earliest {keyword} diagnosis? Pre-cancer, atypia, dysplasia, pre-malignant, non-malignant, or benign conditions are not considered cancer. “Likely cancer,” “may have cancer,” “rule out cancer,” or “could be cancer” are not cancer diagnoses.
If the note references multiple cancers of the same type ({keyword}) (e.g., melanoma of arm and melanoma of leg; right and left breast cancer), identify all cancers of that type → select the earliest diagnosis → use the highest stage documented for that earliest diagnosis.
If {keyword} is described as “negative” or there is “no evidence" of {keyword}, the patient does NOT have {keyword}. Do not classify "negative" results as patient cancer.
If {keyword} appears only in the context of screening (e.g., “{keyword} screening,” “screen for {keyword}”), this does NOT indicate cancer. Do not classify screening as patient cancer.
Always verify that a {keyword} diagnosis refers to the patient. If {keyword} is mentioned only in “family history” or “family medical history,” or is explicitly assigned to a non-patient (e.g., mother, father, sister, brother, aunt, uncle, grandparent, or other relative), then the patient does NOT have {keyword}. Never classify family history or relative diagnoses as patient cancer.
Ignore negative results, screening, and family-history references entirely when determining whether the patient has {keyword}. Only classify cancer when the note clearly documents a diagnosis for the patient.
Stage 0 = in situ / non-invasive / carcinoma in situ.
Stage I = localized.
Stage II/III = locally advanced or regional spread.
Stage IV = distant metastatic disease.
Other notes about staging:
- "Grade" does not mean "stage". For example, grade 2-3 cancer is NOT stage 2-3 cancer. Do not use grade to determine cancer stage. 
- Metastasis to regional lymph nodes or nearby structures does not automatically mean Stage IV. These findings may represent Stage II/III (regional disease) or Stage IV (distant metastasis), depending on the context. The wording “local metastasis" or “lymph node with metastatic cancer” often indicates regional spread, not distant disease.
- Distant metastatic disease qualifies as Stage IV.
- If the cancer is documented as “metastatic {keyword},” this usually indicates Stage IV unless the note clearly contradicts distant spread.
- Stage I: infiltrating or invasive cancer that is fully confined to the primary organ with no lymph node involvement and no spread beyond the primary organ.
- Stage II/III: cancer extending beyond the primary organ or involving regional lymph nodes, but without distant metastasis.
Options are:
A. Stage 0
B. Stage I
C. Stage II or III
D. Stage IV
E. Cancer present but maximum stage unknown
F. Patient does not have cancer</t>
  </si>
  <si>
    <t>What was the maximum stage of the patient's earliest {keyword} diagnosis? Pre-cancer, atypia, dysplasia, pre-malignant, non-malignant, or benign conditions are not considered cancer.
“Likely cancer,” “may have cancer,” “rule out cancer,” or “could be cancer” are not cancer diagnoses.
Ignore family history of cancer (e.g. mother, father, sister, brother, etc.).
Handling Multiple Cancers of the Same Type:
- If a patient has two diagnoses of the same cancer type (e.g., melanoma of the arm and melanoma of the leg; left-breast cancer then right-breast cancer):
- Select the EARLIEST cancer diagnosis (the first occurrence in time).
- Assign the maximum stage based on that earliest cancer, not the later one.
- Identify all cancers of the same type → select the earliest diagnosis → use the highest stage documented for that earliest cancer as the patient’s maximum stage.
“Metastatic” Does NOT Always Mean Stage 4
- Metastasis to regional lymph nodes or local structures is not automatically Stage 4. Examples:
- “Lymph node with metastatic cancer” → NOT necessarily Stage 4; need more info.
- “Breast cancer metastatic to axillary lymph node” but all other nodes/parts of body free of disease → regional disease, not distant metastasis.
- “Local metastasis” or “regional metastasis” → usually Stage 2 or 3, not Stage 4.
- When “metastatic” is used as an adjective referring to the cancer itself (e.g., “metastatic breast cancer,” “metastatic thyroid cancer”) → This usually indicates Stage 4 (distant metastatic disease), unless documentation explicitly contradicts it.
Stage 1
- If a cancer is infiltrating or invasive but remains fully confined to the primary organ AND there is no lymph node involvement and no spread beyond the primary organ → Assign Stage 1.
Stage 2–3 (Locally Advanced or Regional Spread)
Assign Stage 2 or Stage 3 when cancer has spread beyond the primary organ but not to distant organs.
This includes:
- Local extension into adjacent tissues.
- Regional lymph node involvement, but no distant metastasis.
- Local or regional metastatic disease (not distant).
- Example 1 (Prostate): Microscopic extraprostatic extension in the left posterior quadrant, perineural invasion, but no invasion of seminal vesicles or vasa deferentia. All margins free of tumor. No definitive lymphovascular invasion. Pelvic lymph nodes negative. → This is local extension without distant disease → Stage 2/3.
- Example 2 (Breast) → Breast cancer spread to axillary lymph nodes only → Stage 2/3.
Stage 4
Assign Stage 4 only when:
- Cancer has distant metastasis (beyond regional nodes/tissues). Examples:
    * Lung mets
    * Liver mets
    * Brain mets
    * Bone mets
    * Distant lymph nodes (e.g., supraclavicular in breast cancer depending on context)
Or when:
- The documentation explicitly states “metastatic [cancer]” (e.g., metastatic breast cancer), which usually implies distant metastatic disease unless otherwise specified.
Stage 0 is defined as in situ, non-invasive, precancerous, or carcinoma in situ. Stage I is defined as localized. Stage II and III are defined as locally advanced. Stage IV is defined as metastatic. Options are: A. Stage 0, B. Stage I, C. Stage II or III, D. Stage IV, E. Cancer present but maximum stage unknown, F. Patient does not have cancer</t>
  </si>
  <si>
    <t>What is the maximum stage of the patient’s earliest {keyword} diagnosis?
Pre-cancer, atypia, dysplasia, pre-malignant, non-malignant, benign conditions, carcinoma in situ without invasion, or “rule-out” language are not considered cancer.
“Likely cancer,” “may have cancer,” “rule out cancer,” or “could be cancer” are not cancer diagnoses.
If {keyword} is described as negative, or there is “no evidence of {keyword},” the patient does NOT have {keyword}. Do not classify negative results as patient cancer.
If {keyword} appears only in the context of screening (e.g., “{keyword} screening,” “screen for {keyword}”), this does NOT indicate cancer. Do not classify screening as patient cancer.
Always verify that a {keyword} diagnosis refers to the patient.
If {keyword} is mentioned only in family history or family medical history, or is explicitly assigned to a non-patient (e.g., mother, father, sister, brother, aunt, uncle, grandparent, or other relative), then the patient does NOT have {keyword}.
Ignore family history, screening, and negative references entirely when determining whether the patient has cancer.
Handling Multiple Cancers of the Same Type
If the note references multiple cancers of the same type ({keyword}) (e.g., melanoma of arm and melanoma of leg; left-breast cancer then right-breast cancer):
Identify all cancers of that type.
Select the earliest cancer diagnosis (first occurrence in time).
Assign the maximum stage documented for that earliest cancer, even if later cancers are more advanced.
Do not use staging information from later, separate primary cancers.
General Staging Definitions
Stage 0 = in situ, non-invasive, precancerous, or carcinoma in situ.
Stage I = localized disease.
Stage II / Stage III = locally advanced or regional spread.
Stage IV = distant metastatic disease.
Important:
“Grade” does not mean “stage.”
For example, grade 2–3 cancer is not Stage II–III cancer. Do not use grade to determine stage.
Interpreting “Metastatic” Language (Critical)
“Metastatic” does NOT always mean Stage IV.
Metastasis to regional lymph nodes or nearby structures is not automatically Stage IV.
Example: “Lymph node with metastatic cancer” → may represent regional disease, not distant metastasis.
Example: “Breast cancer metastatic to axillary lymph nodes only” → Stage II/III, not Stage IV.
“Local metastasis” or “regional metastasis” usually indicates Stage II/III.
When “metastatic” is used as an adjective describing the cancer itself (e.g., “metastatic breast cancer,” “metastatic thyroid cancer”), this usually indicates Stage IV, unless the documentation explicitly limits disease to regional spread only.
Stage Assignment Rules
Stage I (Localized)
Assign Stage I when:
Cancer is infiltrating or invasive but fully confined to the primary organ
No lymph node involvement
No spread beyond the primary organ
Stage II / Stage III (Locally Advanced or Regional Spread)
Assign Stage II or Stage III when cancer has spread beyond the primary organ but not to distant organs. This includes:
Local extension into adjacent tissues
Regional lymph node involvement
Local or regional metastatic disease (not distant)
Examples:
Prostate: Microscopic extraprostatic extension, perineural invasion, negative lymph nodes, no distant disease → Stage II/III
Breast: Cancer spread to axillary lymph nodes only → Stage II/III
Stage IV (Distant Metastatic Disease)
Assign Stage IV only when:
Cancer has distant metastasis, such as:
Lung
Liver
Brain
Bone
Distant lymph nodes (context-dependent, e.g., supraclavicular in breast cancer)
OR
The documentation explicitly states “metastatic {keyword}”, implying distant disease, unless the note clearly contradicts this.
Final Answer Options
A. Stage 0
B. Stage I
C. Stage II or III
D. Stage IV
E. Cancer present but maximum stage unknown
F. Patient does not have cancerWhat is the maximum stage of the patient’s earliest {keyword} diagnosis?
Pre-cancer, atypia, dysplasia, pre-malignant, non-malignant, benign conditions, carcinoma in situ without invasion, or “rule-out” language are not considered cancer.
“Likely cancer,” “may have cancer,” “rule out cancer,” or “could be cancer” are not cancer diagnoses.
If {keyword} is described as negative, or there is “no evidence of {keyword},” the patient does NOT have {keyword}. Do not classify negative results as patient cancer.
If {keyword} appears only in the context of screening (e.g., “{keyword} screening,” “screen for {keyword}”), this does NOT indicate cancer. Do not classify screening as patient cancer.
Always verify that a {keyword} diagnosis refers to the patient.
If {keyword} is mentioned only in family history or family medical history, is listed under the header 'family history' or 'family medical history', or is explicitly assigned to a non-patient (e.g., mother, father, sister, brother, aunt, uncle, grandparent, or other relative), then the patient does NOT have {keyword}.
Ignore family history, screening, and negative references entirely when determining whether the patient has cancer.
Handling Multiple Cancers of the Same Type
If the note references multiple cancers of the same type ({keyword}) (e.g., melanoma of arm and melanoma of leg; left-breast cancer then right-breast cancer):
Identify all cancers of that type.
Select the earliest cancer diagnosis (first occurrence in time).
Assign the maximum stage documented for that earliest cancer, even if later cancers are more advanced.
Do not use staging information from later, separate primary cancers.
General Staging Definitions
Stage 0 = in situ, non-invasive, precancerous, or carcinoma in situ.
Stage I = localized disease.
Stage II / Stage III = locally advanced or regional spread.
Stage IV = distant metastatic disease.
Important:
“Grade” does not mean “stage.”
For example, grade 2–3 cancer is not Stage II–III cancer. Do not use grade to determine stage.
Interpreting “Metastatic” Language (Critical)
“Metastatic” does NOT always mean Stage IV.
Metastasis to regional lymph nodes or nearby structures is not automatically Stage IV.
Example: “Lymph node with metastatic cancer” → may represent regional disease, not distant metastasis.
Example: “Breast cancer metastatic to axillary lymph nodes only” → Stage II/III, not Stage IV.
“Local metastasis” or “regional metastasis” usually indicates Stage II/III.
When “metastatic” is used as an adjective describing the cancer itself (e.g., “metastatic breast cancer,” “metastatic thyroid cancer”), this usually indicates Stage IV, unless the documentation explicitly limits disease to regional spread only.
Stage Assignment Rules
Stage I (Localized)
Assign Stage I when:
Cancer is infiltrating or invasive but fully confined to the primary organ
No lymph node involvement
No spread beyond the primary organ
Stage II / Stage III (Locally Advanced or Regional Spread)
Assign Stage II or Stage III when cancer has spread beyond the primary organ but not to distant organs. This includes:
Local extension into adjacent tissues
Regional lymph node involvement
Local or regional metastatic disease (not distant)
Examples:
Prostate: Microscopic extraprostatic extension, perineural invasion, negative lymph nodes, no distant disease → Stage II/III
Breast: Cancer spread to axillary lymph nodes only → Stage II/III
Stage IV (Distant Metastatic Disease)
Assign Stage IV only when:
Cancer has distant metastasis, such as:
Lung
Liver
Brain
Bone
Distant lymph nodes (context-dependent, e.g., supraclavicular in breast cancer)
OR
The documentation explicitly states “metastatic {keyword}”, implying distant disease, unless the note clearly contradicts this.
Final Answer Options
A. Stage 0
B. Stage I
C. Stage II or III
D. Stage IV
E. Cancer present but maximum stage unknown
F. Patient does not have cancer</t>
  </si>
  <si>
    <t>F --&gt; E, Row 150
E --&gt; B, Row 161</t>
  </si>
  <si>
    <t>https://partnershealthcare-my.sharepoint.com/:x:/r/personal/mtoles_bwh_harvard_edu/Documents/acne%20validation/val_ds/Validation%20study%20-%20Folder%20for%20Dorsa%20and%20James%20to%20work%20on!/cancer_maximum_stage/cancer_maximum_stage_chunks.xlsx?d=w80bb86a913df44dfac7a8fd752ac213c&amp;csf=1&amp;web=1&amp;e=WeAbDr</t>
  </si>
  <si>
    <t>cancer_stage_at_diagnosis</t>
  </si>
  <si>
    <t>A. Stage 0, B. Stage I, C. Stage II or III, D. Stage IV, E. Unknown, F. Patient does not have cancer.</t>
  </si>
  <si>
    <t>What was the stage of the patient’s {keyword} at diagnosis? Options are: A. Stage 0, B. Stage I, C. Stage II or III, D. Stage IV, E. Cancer present but maximum stage unknown, F. Patient does not have cancer</t>
  </si>
  <si>
    <t>What was the stage of the patient's {keyword} at the time of diagnosis? Pre-cancer, atypia, dysplasia, pre-malignant, non-malignant, or benign conditions are not considered cancer. Cancer screenings do not necessarily indicate cancer. Ignore family history of cancer (e.g. mother, father, sister, brother, etc.). Stage 0 is defined as in situ, non-invasive, or carcinoma in situ. Only answer stage 0 if one of these terms is explicitly mentioned in the diagnosis. Stage I is defined as localized. Stage II and III are defined as locally advanced. Stage IV is defined as metastatic. In-situ or non-invasive melanoma are stage 0. &lt;=2mm melanoma are stage I. &gt;2mm melanoma are stage II or III. Options are: A. Stage 0, B. Stage I, C. Stage II or III, D. Stage IV, E. Patient has cancer but stage unknown, F. Patient does not have cancer.</t>
  </si>
  <si>
    <t>What was the stage of the patient's {keyword} at the time of diagnosis? Pre-cancer, atypia, dysplasia, pre-malignant, non-malignant, or benign conditions are not considered cancer. 
If the note references multiple cancers of the same type ({keyword}) (e.g., melanoma of arm and melanoma of leg or R breast cancer and L breast cancer) then 1) identify all cancers of the same type → 2) select the earliest cancer diagnosis → use the highest stage documented for the earliest cancer diagnosis as the patient’s maximum stage.
Cancer "negative" is not considered cancer. Ignore negative cancer. 
Cancer "screening" is not considered cancer. Ignore cancer screening.
Cancer documented under "family history" is not considered cancer. Parent, sibling, grandparent or other relative with cancer is not considered cancer. Ignore family history of cancer. 
Stage 0 is defined as in situ, non-invasive, or carcinoma in situ. Only answer stage 0 if one of these terms is explicitly mentioned in the diagnosis. Stage I is defined as localized. Stage II and III are defined as locally advanced. Stage IV is defined as metastatic. In-situ or non-invasive melanoma are stage 0. &lt;=2mm melanoma are stage I. &gt;2mm melanoma are stage II or III. 
Other notes about staging:
- Metastasis to regional lymph nodes or local structures is NOT always Stage 4. “Local metastasis” or “regional metastasis” or "lymph node with metastatic cancer" is not always Stage IV.
- Distant metastatic disease qualifies as Stage IV.
- If the cancer is described as “metastatic {keyword}” (e.g., “metastatic breast cancer”), this generally indicates Stage IV unless documentation clearly contradicts it.
- Stage I: infiltrating or invasive cancer that is fully confined to the primary organ with no lymph node involvement and no spread beyond the primary organ.
- Stage II/III: cancer extending beyond the primary organ or involving regional lymph nodes, but without distant metastasis.
Options are: A. Stage 0, B. Stage I, C. Stage II or III, D. Stage IV, E. Patient has cancer but stage unknown, F. Patient does not have cancer.</t>
  </si>
  <si>
    <t>What was the stage of the patient’s {keyword} at the time of diagnosis?
Options:
A. Stage 0
B. Stage I
C. Stage II or III
D. Stage IV
E. Patient has cancer but stage unknown
F. Patient does not have cancer
Step 1: Determine whether the patient has cancer
Do NOT consider the following as cancer → select F:
Pre-cancer, atypia, dysplasia, pre-malignant, non-malignant, or benign conditions
Cancer described as negative
Cancer mentioned only in screening
Cancer mentioned only in family history (parent, sibling, grandparent, or other relative)
Step 2: Handle multiple cancers of the same type
If the note references more than one cancer of the same type ({keyword}) (e.g., melanoma of arm and melanoma of leg; right and left breast cancer):
Identify all cancers of the same type
Select the earliest cancer diagnosis
Use the highest stage documented for that earliest cancer diagnosis as the patient’s maximum stage
Step 3: Assign stage
Stage 0
- Only if explicitly stated as in situ, non-invasive, or carcinoma in situ
- In-situ or non-invasive melanoma is Stage 0
Stage I
- Localized or invasive cancer confined to the primary organ
- No lymph node involvement
- No spread beyond the primary organ
- Melanoma ≤ 2 mm is Stage I
Stage II or III
- Cancer extending beyond the primary organ and/or
- Regional lymph node involvement
- No distant metastasis
- Melanoma &gt; 2 mm without distant metastasis is Stage II or III
Stage IV
- Distant metastatic disease
- Cancer described as “metastatic {keyword}” (e.g., “metastatic breast cancer”) is Stage IV, unless clearly contradicted
Important staging clarifications
- Local metastasis or lymph node with metastatic cancer could be stage II or III OR stage IV
- Distant metastasis always qualifies as Stage IV
Step 4: Unknown stage
If the patient has cancer, but no staging information is available → E. Patient has cancer but stage unknown</t>
  </si>
  <si>
    <t>What was the stage of the patient’s {keyword} at the time of diagnosis?
Options:
A. Stage 0
B. Stage I
C. Stage II or III
D. Stage IV
E. Patient has cancer but stage unknown
F. Patient does not have cancer
Step 1: Determine whether the patient has cancer
Do NOT consider the following as cancer → select F:
Pre-cancer, atypia, dysplasia, pre-malignant, non-malignant, or benign conditions
Cancer described as negative
Cancer mentioned only in screening
Cancer mentioned only in family history (parent, sibling, grandparent, or other relative)
Step 2: Handle multiple cancers of the same type
If the note references more than one cancer of the same type ({keyword}) (e.g., melanoma of arm and melanoma of leg; right and left breast cancer):
Identify all cancers of the same type
Select the earliest cancer diagnosis
Use the highest stage documented for that earliest cancer diagnosis as the patient’s maximum stage
Step 3: Assign stage
Stage 0
- Only if explicitly stated as in situ, non-invasive, or carcinoma in situ
- In-situ or non-invasive melanoma is Stage 0
Stage I
- Localized or invasive cancer confined to the primary organ
- No lymph node involvement
- No spread beyond the primary organ
- Melanoma ≤ 2 mm is Stage I
Stage II or III
- Cancer extending beyond the primary organ and/or
- Regional lymph node involvement
- No distant metastasis
- Melanoma &gt; 2 mm without distant metastasis is Stage II or III
Stage IV
- Distant metastatic disease
- Cancer described as “metastatic {keyword}” (e.g., “metastatic breast cancer”) is Stage IV, unless clearly contradicted
Important staging clarifications
- Local metastasis or lymph node with metastatic cancer could be stage II or III OR stage IV
- Distant metastasis always qualifies as Stage IV
- Stage 0 / in situ may be assumed to be the stage at diagnosis if explicitly stated.
- For all other stages (I–IV):
--Only assign the stage if the note explicitly states this was the stage at diagnosis, or the diagnostic timeline clearly shows the stage at diagnosis (e.g., symptoms → biopsy → pathology with stage).
--If the note describes current, later, or unspecified stage (e.g., “metastatic cancer”) without stating it was present at diagnosis, do NOT assume this was the stage at diagnosis → select E. Patient has cancer but stage unknown.
Step 4: Unknown stage
If the patient has cancer, but no staging information is available → E. Patient has cancer but stage unknown</t>
  </si>
  <si>
    <t>What was the stage of the patient’s {keyword} at the time of diagnosis?
Options:
A. Stage 0
B. Stage I
C. Stage II or III
D. Stage IV
E. Patient has cancer but stage unknown
F. Patient does not have cancer
Step 1: Determine whether the patient has cancer
Do NOT consider the following as cancer → select F. Patient does not have cancer:
Pre-cancer, atypia, dysplasia, pre-malignant, non-malignant, or benign conditions
Cancer described as negative
Cancer mentioned only in screening
Cancer mentioned only in family history (parent, sibling, grandparent, or other relative)
Step 2: Handle multiple cancers of the same type
If the note references more than one cancer of the same type ({keyword})
(e.g., melanoma of arm and melanoma of leg; right and left breast cancer):
1. Identify all cancers of the same type
2. Select the earliest cancer diagnosis
3. Use the highest stage documented for that earliest cancer diagnosis as the patient’s stage
Step 3: Stage-at-diagnosis gate (CRITICAL)
Do NOT infer stage at diagnosis.
Only proceed to stage assignment if at least ONE of the following is true:
- The note explicitly states the stage at diagnosis, initial stage, or “diagnosed as stage …”
- A clear diagnostic timeline is provided (e.g., symptoms → biopsy → pathology → stage)
- The cancer is explicitly described as in situ / non-invasive (Stage 0)
Do NOT infer stage at diagnosis from:
- Absence of metastasis
- Statements such as:
- “negative for metastasis”
- “no evidence of metastatic disease (NED)”
- “no distant metastasis”
- “metastatic workup negative”
- Tumor thickness, lymph node status, or extent unless explicitly stated to be at diagnosis
- Statements describing current, later, or unspecified stage
If none of the allowed conditions above are met → select E. Patient has cancer but stage unknown and STOP.
Step 4: Assign stage
Stage 0
- Only if explicitly stated as in situ, non-invasive, or carcinoma in situ
- In-situ or non-invasive melanoma is Stage 0
- Stage 0 may be assumed to be the stage at diagnosis if explicitly stated
Stage I
- Localized or invasive cancer confined to the primary organ
- No lymph node involvement
- No spread beyond the primary organ
- Melanoma ≤ 2 mm (when explicitly tied to diagnosis)
Stage II or III
- Cancer extending beyond the primary organ and/or
- Regional lymph node involvement
- No distant metastasis
- Melanoma &gt; 2 mm without distant metastasis (when explicitly tied to diagnosis)
Stage IV
- Distant metastatic disease
- Cancer described as “metastatic {keyword}” (e.g., “metastatic breast cancer”)
only if explicitly stated or clearly shown to be present at diagnosis
Important staging clarifications
- Regional or local metastasis (including lymph node involvement) is NOT automatically Stage IV
- Only distant metastasis qualifies as Stage IV
- Presence of metastatic disease alone does not mean the cancer was diagnosed as metastatic
Step 5: Unknown stage
If the patient has cancer, but the stage at diagnosis cannot be determined → select E. Patient has cancer but stage unknown</t>
  </si>
  <si>
    <t>What was the stage of the patient’s {keyword} at the time of diagnosis?
Options:
A. Stage 0
B. Stage I
C. Stage II or III
D. Stage IV
E. Patient has cancer but stage unknown
F. Patient does not have cancer
Step 1: Determine whether the patient has cancer
Do NOT consider the following as cancer → select F. Patient does not have cancer:
Pre-cancer, atypia, dysplasia, pre-malignant, non-malignant, or benign conditions
Cancer described as negative
Cancer mentioned only in screening
Cancer mentioned only in family history (parent, sibling, grandparent, or other relative)
Step 2: Handle multiple cancers of the same type
If the note references more than one cancer of the same type ({keyword})
(e.g., melanoma of arm and melanoma of leg; right and left breast cancer):
1. Identify all cancers of the same type
2. Select the earliest cancer diagnosis
3. Use the highest stage documented for that earliest cancer diagnosis as the patient’s stage
Step 3: Stage-at-diagnosis gate (CRITICAL)
Do NOT infer stage at diagnosis from absence of metastasis, tumor size, lymph nodes, or extent unless explicitly tied to diagnosis.
However, explicit staging language overrides this rule.
Proceed to stage assignment if ANY of the following are true:
- The note explicitly states “diagnosed as stage …”, “stage at diagnosis”, or “initial stage”
- The cancer is explicitly described as “metastatic {keyword}” at diagnosis
- A clear diagnostic timeline shows metastasis present at diagnosis
(e.g., symptoms → biopsy → imaging showing distant metastasis)
- The cancer is explicitly in situ / non-invasive (Stage 0)
If none apply → E. Patient has cancer but stage unknown
Step 4: Assign stage
Stage 0
- Only if explicitly stated as in situ, non-invasive, or carcinoma in situ
- In-situ or non-invasive melanoma is Stage 0
- Stage 0 may be assumed to be the stage at diagnosis if explicitly stated
Stage I
- Localized or invasive cancer confined to the primary organ
- No lymph node involvement
- No spread beyond the primary organ
- Melanoma ≤ 2 mm (when explicitly tied to diagnosis)
Stage II or III
- Cancer extending beyond the primary organ and/or
- Regional lymph node involvement
- No distant metastasis
- Melanoma &gt; 2 mm without distant metastasis (when explicitly tied to diagnosis)
Stage IV
- Explicit statements such as “metastatic {keyword}”, “stage IV {keyword}”, or “{keyword} with distant metastases” → Stage IV
- Distant metastatic disease documented at diagnosis → Stage IV
- Do NOT downgrade explicit metastatic language unless the note clearly states it occurred after diagnosis.
Important staging clarifications
- Regional or local metastasis (including lymph node involvement) is NOT automatically Stage IV
- Only distant metastasis qualifies as Stage IV
- Presence of metastatic disease alone does not mean the cancer was diagnosed as metastatic
Step 5: Unknown stage
If the patient has cancer, but the stage at diagnosis cannot be determined → select E. Patient has cancer but stage unknown</t>
  </si>
  <si>
    <t>What was the stage of the patient's {keyword} at the time of diagnosis?
Pre-cancer, atypia, dysplasia, pre-malignant, non-malignant, benign conditions, carcinoma in situ without invasion, or “rule-out” language are not considered cancer.
“Likely cancer,” “may have cancer,” “rule out cancer,” or “could be cancer” are not cancer diagnoses.
If {keyword} is described as negative, or there is “no evidence of {keyword},” the patient does NOT have {keyword}. Do not classify negative results as patient cancer.
If {keyword} appears only in the context of screening (e.g., “{keyword} screening,” “screen for {keyword}”), this does NOT indicate cancer. Do not classify screening as patient cancer.
Always verify that a {keyword} diagnosis refers to the patient.
If {keyword} is mentioned only in family history or family medical history, is listed under the header “family history” or “family medical history,” or is explicitly assigned to a non-patient (e.g., mother, father, sister, brother, aunt, uncle, grandparent, or other relative), then the patient does NOT have {keyword}.
Ignore family history, screening, and negative references entirely when determining whether the patient has cancer.
Handling Multiple Cancers of the Same Type
If the note references multiple cancers of the same type ({keyword}) (e.g., melanoma of arm and melanoma of leg; left-breast cancer then right-breast cancer):
Identify all cancers of that type.
Select the earliest cancer diagnosis (first occurrence in time).
Assign the maximum stage documented for that earliest cancer, even if later cancers are more advanced.
Do not use staging information from later, separate primary cancers.
General Staging Definitions
Stage 0 = in situ, non-invasive, precancerous, or carcinoma in situ.
Stage I = localized disease.
Stage II / Stage III = locally advanced or regional spread.
Stage IV = distant metastatic disease.
Important:
“Grade” does not mean “stage.”
For example, grade 2–3 cancer is not Stage II–III cancer. Do not use grade to determine stage.
Interpreting “Metastatic” Language (Critical)
“Metastatic” does NOT always mean Stage IV.
Metastasis to regional lymph nodes or nearby structures is not automatically Stage IV.
“Lymph node with metastatic cancer” → may represent regional disease, not distant metastasis.
“Breast cancer metastatic to axillary lymph nodes only” → Stage II/III, not Stage IV.
“Local metastasis” or “regional metastasis” → usually Stage II/III.
When “metastatic” is used as an adjective describing the cancer itself (e.g., “metastatic breast cancer,” “metastatic thyroid cancer”), this usually indicates Stage IV, unless the documentation explicitly limits disease to regional spread only.
Stage Assignment Rules
Stage I (Localized)
Assign Stage I when:
Cancer is infiltrating or invasive but fully confined to the primary organ
No lymph node involvement
No spread beyond the primary organ
Stage II / Stage III (Locally Advanced or Regional Spread)
Assign Stage II or Stage III when cancer has spread beyond the primary organ but not to distant organs, including:
Local extension into adjacent tissues
Regional lymph node involvement
Local or regional metastatic disease (not distant)
Examples:
Prostate: Microscopic extraprostatic extension, perineural invasion, negative lymph nodes, no distant disease → Stage II/III
Breast: Cancer spread to axillary lymph nodes only → Stage II/III
Stage IV (Distant Metastatic Disease)
Assign Stage IV only when:
Cancer has distant metastasis (e.g., lung, liver, brain, bone, or distant lymph nodes),
OR
The documentation explicitly states “metastatic {keyword}”, implying distant disease, unless clearly contradicted.
Options are: A. Stage 0, B. Stage I, C. Stage II or III, D. Stage IV, E. Cancer present but maximum stage unknown, F. Patient does not have cancer</t>
  </si>
  <si>
    <t>What was the stage of the patient's {keyword} at the time of diagnosis?
Pre-cancer, atypia, dysplasia, pre-malignant, non-malignant, benign conditions, carcinoma in situ without invasion, or “rule-out” language are not considered cancer.
“Likely cancer,” “may have cancer,” “rule out cancer,” or “could be cancer” are not cancer diagnoses.
Ignore prolapse and kidney disease references entirely when determining whether the patient has cancer. For example, "stage II prolapse" is not a cancer diagnosis.
If {keyword} is described as negative, or there is “no evidence of {keyword},” the patient does NOT have {keyword}. Do not classify negative results as patient cancer.
If {keyword} appears only in the context of screening (e.g., “{keyword} screening,” “screen for {keyword}”), this does NOT indicate cancer. Do not classify screening as patient cancer.
If {keyword} is noted to be 'uncoded' then {keyword} is present.
Always verify that a {keyword} diagnosis refers to the patient.
If {keyword} is mentioned only in family history or family medical history, is listed under the header “family history” or “family medical history,” or is explicitly assigned to a non-patient (e.g., mother, father, sister, brother, aunt, uncle, grandparent, or other relative), then the patient does NOT have {keyword}.
Ignore family history, screening, and negative references entirely when determining whether the patient has cancer.
Handling Multiple Cancers of the Same Type
If the note references multiple cancers of the same type ({keyword}) (e.g., melanoma of arm and melanoma of leg; left-breast cancer then right-breast cancer):
Identify all cancers of that type.
Select the earliest cancer diagnosis (first occurrence in time).
Assign the maximum stage documented for that earliest cancer, even if later cancers are more advanced.
Do not use staging information from later, separate primary cancers.
General Staging Definitions
Stage 0 = in situ, non-invasive, precancerous, or carcinoma in situ.
Stage I = localized disease.
Stage II / Stage III = locally advanced or regional spread.
Stage IV = distant metastatic disease.
Important:
“Grade” does not mean “stage.”
For example, grade 2–3 cancer is not Stage II–III cancer. Do not use grade to determine stage.
Interpreting “Metastatic” Language (Critical)
“Metastatic” does NOT always mean Stage IV.
Metastasis to regional lymph nodes or nearby structures is not automatically Stage IV.
“Lymph node with metastatic cancer” → may represent regional disease, not distant metastasis.
“Breast cancer metastatic to axillary lymph nodes only” → Stage II/III, not Stage IV.
“Local metastasis” or “regional metastasis” → usually Stage II/III.
When “metastatic” is used as an adjective describing the cancer itself (e.g., “metastatic breast cancer,” “metastatic thyroid cancer”), this usually indicates Stage IV, unless the documentation explicitly limits disease to regional spread only.
Stage Assignment Rules
Stage I (Localized)
Assign Stage I when:
Cancer is infiltrating or invasive but fully confined to the primary organ
No lymph node involvement
No spread beyond the primary organ
Stage II / Stage III (Locally Advanced or Regional Spread)
Assign Stage II or Stage III when cancer has spread beyond the primary organ but not to distant organs, including:
Local extension into adjacent tissues
Regional lymph node involvement
Local or regional metastatic disease (not distant)
Examples:
Prostate: Microscopic extraprostatic extension, perineural invasion, negative lymph nodes, no distant disease → Stage II/III
Breast: Cancer spread to axillary lymph nodes only → Stage II/III
Stage IV (Distant Metastatic Disease)
Assign Stage IV only when:
Cancer has distant metastasis (e.g., lung, liver, brain, bone, or distant lymph nodes),
OR
The documentation explicitly states “metastatic {keyword}”, implying distant disease, unless clearly contradicted.
Options are: A. Stage 0, B. Stage I, C. Stage II or III, D. Stage IV, E. Cancer present but maximum stage unknown, F. Patient does not have cancer</t>
  </si>
  <si>
    <t>What was the stage of the patient’s {keyword} at the time of diagnosis?
Options
A. Stage 0
B. Stage I
C. Stage II or III
D. Stage IV
E. Cancer present but stage at diagnosis unknown
F. Patient does not have cancer
Step 1: Determine whether the patient has cancer
Select F. Patient does not have cancer if ANY of the following apply:
Pre-cancer, atypia, dysplasia, pre-malignant, non-malignant, benign conditions
“Rule-out,” “possible,” “likely,” “may have,” or “could be” cancer
Carcinoma in situ without invasion, unless explicitly described as cancer in situ
Cancer described as negative or “no evidence of {keyword}”
{keyword} mentioned only in screening (e.g., “{keyword} screening”)
{keyword} mentioned only in family history or clearly assigned to a non-patient (mother, father, sibling, relative)
Additional rules:
Always verify the cancer refers to the patient, not a relative
Ignore family history, screening, and negative references entirely
Ignore prolapse and kidney disease terms when assessing cancer (e.g., “stage II prolapse” ≠ cancer)
If {keyword} is explicitly marked “uncoded”, assume the cancer is present
Step 2: Handle multiple cancers of the same type
If multiple cancers of the same type ({keyword}) are referenced (e.g., left and right breast; melanoma of arm and leg):
Identify all cancers of that type
Select the earliest diagnosis in time
Use the highest stage documented for that earliest cancer only
Do NOT use staging from later, separate primary cancers
Step 3: Stage-at-Diagnosis Gate (CRITICAL)
Do NOT infer stage at diagnosis from tumor size, lymph nodes, grade, extent, or absence of metastasis unless it is explicitly tied to diagnosis.
Proceed to stage assignment ONLY if at least one of the following is true:
The note explicitly states “stage at diagnosis,” “diagnosed as stage…,” or “initial stage”
A clear diagnostic timeline shows staging findings present at diagnosis
(e.g., symptoms → biopsy → imaging showing metastasis)
The cancer is explicitly described as in situ / non-invasive
The cancer is explicitly described as “metastatic {keyword}” at diagnosis
If none apply → E. Cancer present but stage at diagnosis unknown
Step 4: Assign stage
Stage 0
Assign Stage 0 ONLY if explicitly stated as:
In situ
Non-invasive
Carcinoma in situ
Stage I (Localized)
Assign Stage I when explicitly tied to diagnosis AND:
Cancer is invasive but confined to the primary organ
No lymph node involvement
No spread beyond the primary organ
Stage II or Stage III (Locally Advanced / Regional Spread)
Assign Stage II or III when explicitly tied to diagnosis AND:
Extension beyond the primary organ and/or
Regional lymph node involvement
No distant metastasis
Examples:
Breast cancer with axillary lymph node involvement only → Stage II/III
Prostate cancer with extraprostatic extension, negative distant disease → Stage II/III
Stage IV (Distant Metastatic Disease)
Assign Stage IV ONLY if explicitly documented at diagnosis:
Distant metastasis (e.g., lung, liver, brain, bone, distant lymph nodes), OR
Explicit statements such as “metastatic {keyword}” or “stage IV {keyword},”
unless clearly limited to regional disease
Important Clarifications
Grade ≠ Stage (e.g., grade 2–3 ≠ stage II–III)
Regional or local metastasis (including lymph nodes) is NOT automatically Stage IV
Only distant metastasis qualifies as Stage IVmetastasis
The presence of metastatic disease later does NOT imply metastatic disease at diagnosismetastatic disease
Step 5: Unknown stage
If the patient has cancer but the stage at diagnosis cannot be determined →
E. Cancer present but stage at diagnosis unknown</t>
  </si>
  <si>
    <t>What was the stage of the patient’s {keyword} at the time of diagnosis?
Options
A. Stage 0
B. Stage I
C. Stage II or III
D. Stage IV
E. Cancer present but stage at diagnosis unknown
F. Patient does not have cancer
Step 1: Determine whether the patient has cancer
Select F. Patient does not have cancer if ANY of the following apply:
- Pre-cancer, atypia, dysplasia, pre-malignant, non-malignant, benign conditions
- “Rule-out,” “possible,” “likely,” “may have,” or “could be” cancer
- Carcinoma in situ without invasion, unless explicitly described as cancer in situ
- Cancer described as negative or “no evidence of {keyword}”
- {keyword} mentioned only in screening (e.g., “{keyword} screening”)                                                                                                        
- {keyword} mentioned only in family history or clearly assigned to a non-patient (mother, father, sibling, relative)
Additional rules:
- Always verify the cancer refers to the patient, not a relative
- Ignore family history, screening, and negative references entirely
- Ignore prolapse and kidney disease terms when assessing cancer (e.g., “stage II prolapse” ≠ cancer)
- If {keyword} is explicitly marked “uncoded”, assume the cancer is present
Step 2: Handle multiple cancers of the same type
- If multiple cancers of the same type ({keyword}) are referenced (e.g., left and right breast; melanoma of arm and leg):
- Identify all cancers of that type
- Select the earliest diagnosis in time
- Use the highest stage documented for that earliest cancer only
- Do NOT use staging from later, separate primary cancers
Step 3: Stage-at-Diagnosis Gate
- Do NOT infer stage at diagnosis from tumor size, lymph nodes, grade, extent, or absence of metastasis unless it is explicitly tied to diagnosis.
- Proceed to stage assignment ONLY if at least one of the following is true:
- The note explicitly states “stage at diagnosis,” “diagnosed as stage…,” or “initial stage”
- A clear diagnostic timeline shows staging findings present at diagnosis
(e.g., symptoms → biopsy → imaging showing metastasis)
- The cancer is explicitly described as in situ / non-invasive
- The cancer is explicitly described as “metastatic {keyword}” at diagnosis
- If none apply → E. Cancer present but stage at diagnosis unknown
Step 4: Assign stage
Stage 0
Assign Stage 0 ONLY if explicitly stated as:
- In situ
- Non-invasive
- Carcinoma in situ
- Stage I (Localized)
Assign Stage I when explicitly tied to diagnosis AND:
- Cancer is invasive but confined to the primary organ
- No lymph node involvement
- No spread beyond the primary organ
Stage II or Stage III (Locally Advanced / Regional Spread)
Assign Stage II or III when explicitly tied to diagnosis AND:
- Extension beyond the primary organ and/or - Regional lymph node involvement
- No distant metastasis
Examples:
- Breast cancer with axillary lymph node involvement only → Stage II/III
- Prostate cancer with extraprostatic extension, negative distant disease → Stage II/III
Stage IV (Distant Metastatic Disease)
Assign Stage IV ONLY if explicitly documented at diagnosis:
- Distant metastasis (e.g., lung, liver, brain, bone, distant lymph nodes), OR
- Explicit statements such as “metastatic {keyword}” or “stage IV {keyword},” unless clearly limited to regional disease
Important Clarifications
- Grade ≠ Stage (e.g., grade 2–3 ≠ stage II–III)
- Regional or local metastasis (including lymph nodes) is NOT automatically Stage IV
- Only distant metastasis qualifies as Stage IVmetastasis
- The presence of metastatic disease later does NOT imply metastatic disease at diagnosismetastatic disease
Step 5: Unknown stage
- If the patient has cancer but the stage at diagnosis cannot be determined → E. Cancer present but stage at diagnosis unknown</t>
  </si>
  <si>
    <t>MGB Original:
F --&gt; E, Row 145
Synth:
E --&gt; C, Row 63</t>
  </si>
  <si>
    <t>https://partnershealthcare-my.sharepoint.com/:x:/r/personal/mtoles_bwh_harvard_edu/Documents/acne%20validation/val_ds/Validation%20study%20-%20Folder%20for%20Dorsa%20and%20James%20to%20work%20on!/cancer_stage_at_diagnosis/cancer_stage_at_diagnosis_chunks.xlsx?d=wbd2ea635932d41308a2cde06ea27def7&amp;csf=1&amp;web=1&amp;e=IoHWn6
https://partnershealthcare-my.sharepoint.com/:x:/r/personal/mtoles_bwh_harvard_edu/Documents/acne%20validation/synthetic/mgb_synth/cancer_stage_at_diagnosis/cancer_stage_at_diagnosis_chunks.xlsx?d=w6f0df7c7dd2c4610b663fb75def67380&amp;csf=1&amp;web=1&amp;e=26CHJ1</t>
  </si>
  <si>
    <t>immunosuppressed_disease</t>
  </si>
  <si>
    <t>['leukemia', 'lymphoma', 'HIV', 'immune deficiency', 'immunodeficiency', 'immunosuppressed', 'immunocompromised', 'AIDS']</t>
  </si>
  <si>
    <t>Does the patient have any immunosuppressive diseases? Options are: A. Yes, B. No</t>
  </si>
  <si>
    <t>Does the patient have any immunosuppressive diseases including leukemia, lymphoma, HIV, AIDS, or immune deficiency? Options are: A. Yes, B. No</t>
  </si>
  <si>
    <t>OK</t>
  </si>
  <si>
    <t>smoking_amount</t>
  </si>
  <si>
    <t>['smokes', 'smoker', 'smoking', 'tobacco']</t>
  </si>
  <si>
    <t>A. 0 (does not smoke), B. 1-2, C. 3-5, D. 6+, E. Smoker but unknown quantity, F. No indication of smoking status</t>
  </si>
  <si>
    <t>How many packs per week does the patient smoke? Options are: A. 0 (does not smoke), B. 1-2, C. 3-5, D. 6+, E. Smoker but unknown quantity, F. No indication of smoking status</t>
  </si>
  <si>
    <t>How many packs per week does this patient smoke? If a range is given, take the upper bound. Ignore results from questionaires. Round all values up to the nearest integer (i.e. 0.1 -&gt; 1). Do not attempt to infer the number of packs from questionnaire scores (e.g. TAPS, AUDIT-C). Options are: A. 0 (does not smoke), B. 1-2, C. 3-5, D. 6+, E. Smoker but unknown quantity, F. No indication of smoking status</t>
  </si>
  <si>
    <t>How many packs per week does this patient smoke? If a range is given, take the upper bound. Ignore results from questionaires. Round all values up to the nearest integer (i.e. 0.1 -&gt; 1). Do not attempt to infer the number of packs from questionnaire scores (e.g. TAPS, AUDIT-C). Options are: A. 0 (does not smoke), B. 1-2, C. 3-5, D. 6+, E. Smoker but unknown quantity, F. No indication of smoking status
“No history on file” or missing smoking history ≠ does not smoke → select F (No indication of smoking status).
Former smoker or never smoker → select A (0 – does not smoke).</t>
  </si>
  <si>
    <t>How many packs per week does the patient smoke?
Options
A. 0 (does not smoke)
B. 1-2
C. 3-5
D. 6+
E. Smoker but quantity unknown
F. No indication of smoking status
Step 1: Determine smoking status
If the patient is documented as a current smoker, proceed to quantity determination
If the patient is documented as a former smoker or never smoker → select A (0 – does not smoke)
If there is no smoking history on file, smoking status is missing, or smoking is not mentioned → select F (No indication of smoking status)
Step 2: Determine packs per week (current smokers only)
Use explicitly stated packs per week only
If a range is given, select the upper bound
If a fractional value is given, round up to the nearest integer
Example: 0.1 packs/week → 1
If the patient is identified as a smoker but no quantity is provided → select E (Smoker but quantity unknown)
Step 3: Exclusions (CRITICAL)
Do NOT infer smoking quantity from:
Questionnaires or screening tools (e.g., TAPS, AUDIT-C, substance use screens)
Scores, risk assessments, or implied use
Ignore social history templates unless smoking quantity is explicitly stated
Key clarifications
“No history on file” does not mean "does not smoke"
Smoking mentioned only in counseling, education, or screening does NOT establish quantity
Do not infer packs per week from cigarettes per day unless explicitly converted in the note</t>
  </si>
  <si>
    <t>How many packs per week does the patient smoke?
Options
A. 0 (does not smoke)
B. 1-2
C. 3-5
D. 6+
E. Smoker but quantity unknown
F. No indication of smoking status
Step 1: Determine smoking status
- If the patient is documented as a current smoker, proceed to quantity determination
- If the patient is documented as a former smoker or never smoker → select A (0 – does not smoke)
- If there is no smoking history on file, smoking status is missing, or smoking is not mentioned → select F (No indication of smoking status)
Step 2: Determine packs per week (current smokers only)
- Use explicitly stated packs per week only
- If a range is given, select the upper bound
- If a fractional value is given, round up to the nearest integer
Example: 0.1 packs/week → 1
- If the patient is identified as a smoker but no quantity is provided → select E (Smoker but quantity unknown)
Step 3: Exclusions (CRITICAL)
- Do NOT infer smoking quantity from:
- Questionnaires or screening tools (e.g., TAPS, AUDIT-C, substance use screens)
- Scores, risk assessments, or implied use
- Ignore social history templates unless smoking quantity is explicitly stated
Key clarifications
- “No history on file” does not mean "does not smoke"
- Smoking mentioned only in counseling, education, or screening does NOT establish quantity
- Do not infer packs per week from cigarettes per day unless explicitly converted in the note</t>
  </si>
  <si>
    <t>F --&gt; A, Row 125
B --&gt; A, Row 192</t>
  </si>
  <si>
    <t>https://partnershealthcare-my.sharepoint.com/:x:/r/personal/mtoles_bwh_harvard_edu/Documents/acne%20validation/val_ds/Validation%20study%20-%20Folder%20for%20Dorsa%20and%20James%20to%20work%20on!/smoking_amount/smoking_amount_chunks.xlsx?d=wffc38a2e06304f27b1948b7bee7de527&amp;csf=1&amp;web=1&amp;e=EAPc5L</t>
  </si>
  <si>
    <t>smoking_status</t>
  </si>
  <si>
    <t>A. Never smoked, B. Former smoker, C. Current smoker, D. Unknown</t>
  </si>
  <si>
    <t>What is the patient’s smoking status? Options are: A. Never smoked, B. Former smoker, C. Current smoker, D. Unknown</t>
  </si>
  <si>
    <t>What is the patient’s smoking status?
Options:
A. Never smoked
B. Former smoker
C. Current smoker
D. Unknown
Hard priority rules (apply first):
If the record explicitly states “current smoker” or “current every day smoker”, classify as C. Current smoker, even if smoking amount is listed as 0 PPD / 0 PPW.
If the record explicitly states “former smoker”, classify as B. Former smoker.
If the record explicitly states “never smoker” or “never used tobacco products”, classify as A. Never smoked.
Smoking history language:
PMH of smoking, history of smoking, or long-standing history → classify as B. Former smoker, unless the record also indicates ongoing smoking, in which case classify as C. Current smoker.
Counseling statements:
“Please quit smoking” or smoking cessation counseling → C. Current smoker.
Do not count hypothetical statements (e.g., “if you currently smoke, please quit”).
Substances and terminology:
Marijuana, cocaine, meth, etc. do not count as smoking; cigars do count.
“Tobacco abuse” or “tobacco use” alone → D. Unknown.
If tobacco abuse/use is mentioned together with smoking, classify as C. Current smoker.
“No history of tobacco abuse” or “no tobacco use” → A. Never smoked.</t>
  </si>
  <si>
    <t>What is the patient’s smoking status?
Options
A. Never smoked
B. Former smoker
C. Current smoker
D. Unknown
Step 1: Determine smoking status
Use explicit documentation only. Do not infer status.
A. Never smoked
Select Never smoked if the patient is explicitly described as:
“Never smoker”
“No lifetime smoking history”
“Has never smoked”
B. Former smoker
Select Former smoker if the patient:
Previously smoked but has quit
Is described as “former smoker,” “ex-smoker,” or “quit smoking”
Has a quit date in the past and is not currently smoking
C. Current smoker
Select Current smoker if the patient is described as:
“Current smoker”
“Smokes cigarettes,” “actively smoking,” or similar
Smoking is described in the present tense
Occasional or social smoking still qualifies as current smoker.
D. Unknown
Select Unknown if:
Smoking status is not mentioned
The note states “no history on file” or smoking history is missing
Smoking appears only in screening, counseling, or questionnaires
Smoking status cannot be clearly determined
Exclusions (CRITICAL)
Do NOT infer smoking status from:
Screening tools or questionnaires (e.g., TAPS, AUDIT-C)
Counseling, education, or preventive advice alone
Do NOT assume “never smoked” when data is missing
Key clarifications
“No history on file” does not mean never smoked
Former smokers are not current smokers
Absence of smoking documentation → D. Unknown</t>
  </si>
  <si>
    <t xml:space="preserve">F --&gt; A, Row 124
</t>
  </si>
  <si>
    <t>https://partnershealthcare-my.sharepoint.com/:x:/r/personal/mtoles_bwh_harvard_edu/Documents/acne%20validation/val_ds/Validation%20study%20-%20Folder%20for%20Dorsa%20and%20James%20to%20work%20on!/smoking_status/smoking_status_chunks.xlsx?d=w3c75e9b37b2248e8841ffdf54dac1176&amp;csf=1&amp;web=1&amp;e=iOyIOW</t>
  </si>
  <si>
    <t>transplant</t>
  </si>
  <si>
    <t>['transplant', 'transplantation']</t>
  </si>
  <si>
    <t>Did the patient receive a transplant? Options are: A. Yes, B. No</t>
  </si>
  <si>
    <t>Does this medical record indicate that the patient received a transplant, solid organ transplant, stem cell transplant, or bone marrow transplant? Do not include transplant types: corneal, skin graft, hair, osteochondral, cartilage, bone, valve, autograft, hip, shoulder, tendon, fecal, skin. Options are: A. Yes, B. No</t>
  </si>
  <si>
    <t>Does this medical record indicate that the patient received a transplant, solid organ transplant, stem cell transplant, or bone marrow transplant? Do NOT count the following transplant types: corneal, skin graft, hair, osteochondral, cartilage, bone, valve, autograft, hip, shoulder, tendon, fecal, skin. Options are: A. Yes, B. No
Ignore family history of transplant (e.g., mother, father, sibling); only consider transplants performed on the patient.
Do NOT count hypothetical, conditional, or educational statements as evidence of transplant (e.g., “if you have had a kidney, heart, or lung transplant…”).
Do NOT count planned, upcoming, evaluation for, or bridge to transplant as a completed transplant.</t>
  </si>
  <si>
    <t>Did the patient receive a {keyword} transplant?
A transplant refers to receipt of a transplanted organ or tissue matching the {keyword}.
Determining Transplant Status
A. Yes
Select Yes if the record clearly documents that the patient received a {keyword} transplant at any time.
B. No
Select No only if the record contains no indication that the patient received a {keyword} transplant.
Handling Multiple Transplants of the Same Type
If a patient has two or more transplants of the same organ/type that match the {keyword}, select Yes.
When determining timing internally, use the earliest transplant date among them.
Handling “s/p [transplant]” Diagnoses
If the diagnosis is “s/p [transplant]” and it has an associated date, and this is the only date available, you may use that date as the transplant date.
If additional text elsewhere in the record states a different transplant date, use the date mentioned in the text, as “s/p” (status-post) may reflect documentation timing rather than the actual transplant date.
“s/p [transplant]” and “History of [transplant]” for the Same Organ
If both “s/p [transplant]” and “history of [transplant]” (H/O) are documented for the same organ, use the earliest documented date across these entries.
The presence of either indicates the patient did receive a transplant.
When “s/p [transplant]” Precedes Another Transplant Mention
If the record contains “s/p [organ] transplant [earlier year]” and another reference to a transplant of the same organ in a later year, treat this as multiple transplants and use the earliest date.
If “s/p [transplant]” has a date earlier than another transplant date for the same organ, treat it as a true earlier transplant.
 Options are: A. Yes, B. No</t>
  </si>
  <si>
    <t>Did the patient receive a {keyword} transplant?
A transplant refers to completed receipt of a transplanted organ or tissue matching {keyword}.
Options
A. Yes
B. No
Step 1: Eligibility gate — did a qualifying transplant occur?
Select B. No if ANY of the following apply:
Transplant is mentioned only in family history (e.g., mother, father, sibling, relative)
Transplant is planned, upcoming, listed for, evaluated for, or a bridge to transplant
Transplant is mentioned only hypothetically or educationally
(e.g., “if you have had a kidney transplant…”)
Transplant type is not qualifying, including:
- Corneal transplant, Skin graft, hair transplant, Bone, cartilage, osteochondral graft, Valve, tendon, ligament, Hip, shoulder, or joint replacement, Autograft, Fecal transplant
- The record does not clearly document that the patient actually received a transplant
Ignore all excluded references entirely.
Step 2: Assign transplant status
A. Yes
Select Yes if the record clearly documents that the patient received a qualifying {keyword} transplant at any time.
Qualifying documentation includes:
- “s/p {keyword} transplant”
- “History of {keyword} transplant”
- Operative notes or transplant history confirming receipt
- The presence of any qualifying transplant → Yes
B. No
Select No if:
- No qualifying transplant is documented after applying all exclusions
Step 3: Handling multiple transplants of the same type (internal logic only)
If the patient received multiple {keyword} transplants, still select Yes
When resolving timing internally:
Use the earliest documented transplant date
If both “s/p” and “history of” entries exist, use the earliest date
If “s/p {transplant}” has a date earlier than another transplant reference, treat it as a true earlier transplant
(Timing does not affect the Yes/No answer; it is for internal consistency only.)
Key clarifications
“s/p” (status post) indicates a completed transplant unless clearly contradicted
"Documentation timing" does not mean "transplant timing"
"Evaluation, listing, or counseling" does not mean "transplant receipt"</t>
  </si>
  <si>
    <t>transplant_date</t>
  </si>
  <si>
    <t xml:space="preserve">Format as YYYYMMDD. If the patient received a transplant but no date is specified, return U. If the record gives no indication of transplant, return X.
</t>
  </si>
  <si>
    <t xml:space="preserve">When did the patient receive the transplant? Format as YYYYMMDD. If the patient received a transplant but no date is specified, return U. If the record gives no indication of transplant, return X.
</t>
  </si>
  <si>
    <t>What was the date of the patient's earliest organ transplant? Do not include transplant types: corneal, skin graft, hair, osteochondral, cartilage, bone, valve, autograft, hip, shoulder, tendon, fecal, skin. If the patient received a transplant but no date is specified, return U. If the record gives no indication of transplant, return X If only the month and year are given, assume the date was the 15th. If only the year is given, assume the date was July 2. Answer in the format YYYYMMDD, including leading zeros.</t>
  </si>
  <si>
    <t>What was the date of the patient's earliest organ transplant? Do not include transplant types: corneal, skin graft, hair, osteochondral, cartilage, bone, valve, autograft, hip, shoulder, tendon, fecal, skin. If the patient received a transplant but no date is specified, return U. If the record gives no indication of transplant, return X If only the month and year are given, assume the date was the 15th. If only the year is given, assume the date was July 2. Answer in the format YYYYMMDD, including leading zeros.
Ignore family history of transplant (e.g., mother, father, sibling); only consider transplants performed on the patient.
If the patient has two or more transplants of the same organ/type, use the earliest transplant date.
Treat “tx” as transplant when the context clearly refers to a confirmed transplant for the patient (e.g., “stem cell transplant” and “stem cell tx” refer to the same event); use the earliest documented date.</t>
  </si>
  <si>
    <t>What was the date of the patient's earliest organ transplant? Do not include transplant types: corneal, skin graft, hair, osteochondral, cartilage, bone, valve, autograft, hip, shoulder, tendon, fecal, skin. If the patient received a transplant but no date is specified, return U. If the record gives no indication of transplant, return X If only the month and year are given, assume the date was the 15th. If only the year is given, assume the date was July 2. Answer in the format YYYYMMDD, including leading zeros.
Ignore family history of transplant (e.g., mother, father, sibling); only consider transplants performed on the patient.
If the patient has two or more transplants of the same organ/type, use the earliest transplant date.
Treat “tx” as transplant when the context clearly refers to a confirmed transplant for the patient (e.g., “stem cell transplant” and “stem cell tx” refer to the same event); use the earliest documented date.
Do NOT count hypothetical, conditional, or educational statements as evidence of transplant (e.g., “if you have had a kidney, heart, or lung transplant…”).
Do NOT count planned, upcoming, evaluation for, or bridge to transplant as a completed transplant.</t>
  </si>
  <si>
    <t>What was the date of the patient's earliest organ transplant? Do NOT count the following transplant types: corneal, skin graft, hair, osteochondral, cartilage, bone, valve, autograft, hip, shoulder, tendon, fecal, skin. If the patient received a transplant but no date is specified, return U. If the record gives no indication of transplant, return X If only the month and year are given, assume the date was the 15th. If only the year is given, assume the date was July 2. Answer in the format YYYYMMDD, including leading zeros.
Ignore family history of transplant (e.g., mother, father, sibling); only consider transplants performed on the patient.
If the patient has two or more transplants of the same organ/type, use the earliest transplant date.
Treat “tx” as transplant when the context clearly refers to a confirmed transplant for the patient (e.g., “stem cell transplant” and “stem cell tx” refer to the same event); use the earliest documented date.
Do NOT count hypothetical, conditional, or educational statements as evidence of transplant (e.g., “if you have had a kidney, heart, or lung transplant…”).
Do NOT count planned, upcoming, evaluation for, or bridge to transplant as a completed transplant.</t>
  </si>
  <si>
    <t>When did the patient receive the transplant? Format as YYYYMMDD. If the patient received a transplant but no date is specified, return U. If the record gives no indication of transplant, return X.
Rules when determining date:
If the patient has multiple transplants of the same organ/type, select the earliest documented transplant date.
If the record says “s/p [organ] transplant” with a date and no other transplant date is documented for that organ, you may use this date. If another date is mentioned elsewhere in the record for the same organ, use that date instead.
If both “s/p [organ] transplant” and “history of [organ] transplant” appear, use the earliest documented date across these entries.
If the record includes an earlier “s/p [organ] transplant” date and a later transplant for the same organ, treat this as multiple transplants and use the earliest date.
When multiple dates exist for the same organ/type, always prioritize the earliest credible transplant date, unless explicitly stated that a later date represents the first transplant.</t>
  </si>
  <si>
    <t>When did the patient receive the transplant? Format as YYYYMMDD. If the patient received a transplant but no date is specified, return U. If the record gives no indication of transplant, return X.
Rules when determining date:
If the patient has multiple transplants of the same organ/type, select the earliest documented transplant date.
If the record says “s/p [organ] transplant” with a date and no other transplant date is documented for that organ, you may use this date. If another date is mentioned elsewhere in the record for the same organ, use that date instead.
If both “s/p [organ] transplant” and “history of [organ] transplant” appear, use the earliest documented date across these entries.
If the record includes an earlier “s/p [organ] transplant” date and a later transplant for the same organ, treat this as multiple transplants and use the earliest date.
When multiple dates exist for the same organ/type, always prioritize the earliest credible transplant date, unless explicitly stated that a later date represents the first transplant.
Ignore any tranplants or transplantation for family members (e.g., parents, siblings, grandparents).
Ignore general patient instructions, guidelines, or educational text related to transplants (e.g., can I get a vaccine if I had an organ transplant).</t>
  </si>
  <si>
    <t>When did the patient receive their transplant? Format as YYYYMMDD. If the patient received a transplant but no date is specified, return U. If the record gives no indication of transplant, return X.
Rules when determining date:
Only consider transplants in the following list: liver, kidney, pancreas, heart, lung, intestine, middle ear, skin, bone, bone marrow, heart valve, connective tissue, vascular composite allograft.
Ignore transplants in the following list: corneal, skin graft, hair, osteochondral, cartilage, bone, valve, autograft, hip, shoulder, tendon, fecal, skin.
If the patient has multiple transplants of the same organ/type, select the earliest documented transplant date.
If the record says “s/p [organ] transplant” with a date and no other transplant date is documented for that organ, you may use this date. If another date is mentioned elsewhere in the record for the same organ, use that date instead.
If both “s/p [organ] transplant” and “history of [organ] transplant” appear, use the earliest documented date across these entries.
If the record includes an earlier “s/p [organ] transplant” date and a later transplant for the same organ, treat this as multiple transplants and use the earliest date.
When multiple dates exist for the same organ/type, always prioritize the earliest credible transplant date, unless explicitly stated that a later date represents the first transplant.
Ignore any transplants or transplantation for family members (e.g., parents, siblings, grandparents) 
If transplant is described in general patient instructions, guidelines, or educational text related to transplants (e.g., can I get a vaccine if I had an organ transplant), return X.</t>
  </si>
  <si>
    <t>When did the patient receive their earliest transplant? Format as YYYYMMDD. If the patient received a transplant but no date is specified, return U. If the record gives no indication of transplant, return X.
Rules when determining date:
Only consider transplants in the following list: liver, kidney, pancreas, heart, lung, intestine, middle ear, skin, bone, bone marrow, heart valve, connective tissue, vascular composite allograft.
Ignore transplants in the following list: corneal, skin graft, hair, osteochondral, cartilage, bone, valve, autograft, hip, shoulder, tendon, fecal, skin.
If the patient has multiple transplants of the same organ/type, select the earliest documented transplant date.
If the record says “s/p [organ] transplant” with a date and no other transplant date is documented for that organ, you may use this date. If another date is mentioned elsewhere in the record for the same organ, use that date instead.
If both “s/p [organ] transplant” and “history of [organ] transplant” appear, use the earliest documented date across these entries.
If the record includes an earlier “s/p [organ] transplant” date and a later transplant for the same organ, treat this as multiple transplants and use the earliest date.
When multiple dates exist for the same organ/type, always prioritize the earliest credible transplant date, unless explicitly stated that a later date represents the first transplant.
Ignore any transplants or transplantation for family members (e.g., parents, siblings, grandparents) 
If transplant is described in general patient instructions, guidelines, or educational text related to transplants (e.g., can I get a vaccine if I had an organ transplant), return X.
If the record includes multiple transplant dates, then utilize the earliest among them.</t>
  </si>
  <si>
    <t>20101201 --&gt; 20100702, Row 117</t>
  </si>
  <si>
    <t>https://partnershealthcare-my.sharepoint.com/:x:/r/personal/mtoles_bwh_harvard_edu/Documents/acne%20validation/val_ds/Validation%20study%20-%20Folder%20for%20Dorsa%20and%20James%20to%20work%20on!/transplant_date/transplant_date_chunks.xlsx?d=w746dcc85fa18408ea334de110f9ec331&amp;csf=1&amp;web=1&amp;e=qzybB8</t>
  </si>
  <si>
    <t>Status</t>
  </si>
  <si>
    <t>Status Dorsa</t>
  </si>
  <si>
    <t>Status James</t>
  </si>
  <si>
    <t>Current Prompt</t>
  </si>
  <si>
    <t>Last Updated</t>
  </si>
  <si>
    <t>Synthetic KW Notes</t>
  </si>
  <si>
    <t>Notes</t>
  </si>
  <si>
    <t>Complete</t>
  </si>
  <si>
    <t>How many drinks per week does this patient drink? Round all values up to the nearest integer (i.e. 0.1 -&gt; 1). Options are: A. 0 (sober or does not drink), B. 1-2, C. 3-5, D. 6+, E. Drinker but unknown quantity, F. No indication of alcohol status
Keywords
['alcohol', 'drinks', 'etoh']</t>
  </si>
  <si>
    <t>What is the alcohol status of this patient? (Note: ETOH is the abbreviation for ethanol.) Options are: A. Currently Drinks, B. Does not currently drink, C. No indication of alcohol status
Keywords
['alcohol', 'drinks', 'etoh']</t>
  </si>
  <si>
    <t>How long did the patient take the {abx}? Round all values up to the nearest integer (i.e. 0.1 -&gt; 1). A. 0 days (no indication of antibiotic use), B. 1-15 days, C. 16-45 days, D. 46-135 days, E. 136+ days, F. Taken but dates unknown
Step 1. Did the patient take the antibiotic?
Ask: "Did the patient take {keyword}? If the antibiotic is listed as an allergy, consider as 'no indication of antibiotic use'. Options are A. yes, B. no"
If the answer is (yes) → continue to Step 2.
If the answer is (no) → set the final label to A ("no indication of antibiotic use") and stop.
Step 2. When did the patient begin taking the antibiotic?
Ask: "When did the patient begin taking {keyword}? If no start date is mentioned, answer 'NA'. If only the month and year are given, assume it was given on the 15th of the month. If only the year is given, assume it was given on the 15th of June. Answer in the format MM/DD/YYYY, including leading zeros."
If the answer is "NA" or can’t be determined → set the final label to F ("start date unknown") and stop.
Step 3. When did the patient stop taking the antibiotic?
Ask: "When did the patient stop taking {keyword}? If no end date is mentioned, answer 'NA'. If only the month and year are given, assume it was given on the 15th of the month. If only the year is given, assume it was given on the 15th of June. Answer in the format MM/DD/YYYY, including leading zeros. DO NOT try to infer the end date from the number of pills prescribed."
If you get a valid end date → calculate days on antibiotic as the number of days between start date and end date.
If the answer is "NA" or can’t be determined → go to Step 4.
Step 4. If the start or end date is unknown, estimate duration from pill counts
Ask: "How long was the patient on {keyword}? If you need to, infer the duration on the number of pills prescribed, the number of refills, and the frequency of the dose. DO NOT assume the patient takes one pill per day. For example, if the patient was prescribed 10 pills, and the frequency is 2 pills per day, the patient took the medication for 5 days. Note that 'refills' are in addition to the initial prescription, so 2 refills of 10 pills means the patient received 30 pills total. When calculating duration, DO NOT include days that the patient did not take the medication. For example, if the patient took the medication once a week for 4 weeks, the patient took the medication for 4 days. If there is not enough information, answer 'NA'. Assume 30 days per month. Answer with a number (of days)."
If a valid number of days is given → add that number to the start date to get an approximate end date.
If the answer is "NA", then the end date remains unknown.
Step 5. Interpret the duration
If the calculated duration (days on antibiotic) is missing, negative, or unrealistically large (&gt;1,000,000 days): set label to F ("dates unknown").
Otherwise, assign labels based on the duration:
≤ 15 days → label B
16–45 days → label C
46–135 days → label D
&gt;135 days → label E
Final Output
For each patient, record:
Start date
End date (or None if not known)
Days on antibiotic (if calculable)
Whether they took the antibiotic (yes/no)
The final label (A–G, as determined above)
Example query: None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</si>
  <si>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Ignore those mentioned as topical (i.e. cream, ointment) or ophthalmic solution as well. Options are: A. Yes, B. No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</si>
  <si>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Does this medical record indicate that the patient has a history of cancer? Only consider tumors as cancer if they are malignant. Pre-cancer, atypia, dysplasia, pre-malignant, non-malignant, or benign conditions are not considered cancer. Ignore family history of cancer (e.g. mother, father, sister, brother, etc.). Options are: A. Yes, B. No
Keywords
['cancer', 'carcinoma', 'melanoma', 'mesothelioma', 'sarcoma', 'lymphoma', 'leukemia', 'myeloma', 'malignant', 'tumor', 'myelodysplastic']</t>
  </si>
  <si>
    <t>What is the date the patient was declared cancer free of {keyword}? Pre-cancer, atypia, dysplasia, pre-malignant, non-malignant, or benign conditions are not considered cancer. Cancer screenings do not necessarily indicate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sarcoma']Pre-cancer, atypia, dysplasia, pre-malignant, non-malignant, or benign conditions are not considered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t>
  </si>
  <si>
    <t>What was the date of the patient's most recent {keyword} diagnosis? If the patient has cancer but no diagnosis date is specified, return U. If the record gives no indication of cancer, return X If only the month and year are given, assume the date was the 15th. If only the year is given, assume the date was July 2. Answer in the format YYYYMMDD, including leading zeros.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</si>
  <si>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Does this medical record indicate that any member of the patient's family has a history of cancer? Pre-cancer, atypia, dysplasia, pre-malignant, non-malignant, or benign conditions are not considered cancer. Options are: A. Yes, B. No
Keywords
['cancer', 'carcinoma', 'melanoma', 'mesothelioma', 'sarcoma', 'lymphoma', 'leukemia', 'myeloma', 'malignant', 'tumor', 'myelodysplastic']</t>
  </si>
  <si>
    <t>What was the maximum stage of the patient's most recent {keyword}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</si>
  <si>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What was the stage of the patient's most recent {keyword}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</si>
  <si>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immunosuppressed disease</t>
  </si>
  <si>
    <t>Does this medical record indicate that the patient had an immunosuppressed disease, including leukemia, lymphoma, HIV, AIDS, or immune deficiency? Options are: A. Yes, B. No
Keywords
['leukemia', 'lymphoma', 'HIV', 'immune deficiency', 'immunodeficiency', 'immunosuppressed', 'immunocompromised', 'AIDS']</t>
  </si>
  <si>
    <t>How many packs per week does this patient smoke? If a range is given, take the upper bound. Round all values up to the nearest integer (i.e. 0.1 -&gt; 1).Options are: A. 0 (does not smoke), B. 1-2, C. 3-5, D. 6+, E. Smoker but unknown quantity, F. No indication of smoking status
Keywords
['smokes', 'smoker', 'smoking', 'tobacco']</t>
  </si>
  <si>
    <t>What is the smoking status of this patient? If it just says 'smoker: no', consider it as 'never smoked'. Options are: A. Never smoked, B. Former smoker, C. Current smoker, D. Unknown
Keywords
['smokes', 'smoker', 'smoking', 'tobacco']</t>
  </si>
  <si>
    <t>Does this medical record indicate that the patient received a transplant, solid organ transplant, stem cell transplant, or bone marrow transplant? Options are: A. Yes, B. No
Keywords
['transplant', 'transplantation']</t>
  </si>
  <si>
    <t>What was the date of the patient's most recent organ transplant? Format as YYYYMMDD. If the patient received a transplant but no date is specified, return U. If the record gives no indication of transplant, return X
Keywords
['transplant', 'transplantation']</t>
  </si>
  <si>
    <t>Mimic Original</t>
  </si>
  <si>
    <t>How long did the patient take the {abx}? Round all values up to the nearest integer (i.e. 0.1 -&gt; 1). A. 0 days (no indication of antibiotic use), B. 1-15 days, C. 16-45 days, D. 46-135 days, E. 136+ days, F. Taken but dates unknown
Step 1. Did the patient take the antibiotic?
Ask: "Did the patient take {keyword}? If the antibiotic is listed as an allergy, consider as 'no indication of antibiotic use'. Options are A. yes, B. no"
If the answer is (yes) → continue to Step 2.
If the answer is (no) → set the final label to A ("no indication of antibiotic use") and stop.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If a valid number of days is given → use this number as the total duration (final answer)
If the answer is "NA" or can’t be determined → move on to step 3.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(aka BID),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If a valid pill count, number of refills, and frequency of the dose is given → calculate the total duration (final answer)
If the answer is "NA" or can’t be determined → move on to step 4.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If a valid number of days is given → use this number as the total duration (final answer)
If the answer is "NA", then the total duration remains unknown.
Step 5. If the total duration is not explicitly written somewhere in the note AND the pill counts, number of refills and the frequency of the dose are not provided, then answer 'NA'. Answer with a number (of days). Do NOT use start and/or end dates to estimate total duration"**
Step 6. Interpret the duration
If the calculated duration (days on antibiotic) is missing, negative, or unrealistically large (&gt;1,000,000 days): set label to F ("dates unknown").
Otherwise, assign labels based on the duration:
≤15 days → label B
16–45 days → label C
46–135 days → label D
&gt;135 days → label E
Final Output
For each patient, record:
Start date (if known)
End date (if known)
Days on antibiotic (if calculable)
Whether they took the antibiotic (yes/no)
The final label (A–G, as determined above)
Example query: None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Number of records with keyword: 100
Number of records: 100
Number of chunks: 339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</si>
  <si>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Options are: A. Yes, B. No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</si>
  <si>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Mimic Exclusion</t>
  </si>
  <si>
    <t>NO DATES ON MIMIC</t>
  </si>
  <si>
    <t>What is the date the patient was declared cancer free of {keyword}? Pre-cancer, atypia, dysplasia, pre-malignant, non-malignant, or benign conditions are not considered cancer. Cancer screenings do not necessarily indicate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</si>
  <si>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What was the maximum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</si>
  <si>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What was the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Options are: A. Stage 0, B. Stage I, C. Stage II or III, D. Stage IV, 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</si>
  <si>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Does this medical record indicate that the patient received a transplant, solid organ transplant, stem cell transplant, or bone marrow transplant? Do not include osteochondral allograft, hair, osteochondrla, cartilage, corneal, fecal, hip, knee, and shoulder transplants. Options are: A. Yes, B. No
Keywords
['transplant', 'transplantation']</t>
  </si>
  <si>
    <t>What was the date of the patient's most recent organ transplant? If the patient received a transplant but no date is specified, return U. If the record gives no indication of transplant, return X {DATE_INTERPOLATION_STR}
Keywords
['transplant', 'transplantation']</t>
  </si>
  <si>
    <t>What is the date the patient was declared cancer free of {keyword}? Pre-cancer, atypia, dysplasia, pre-malignant, non-malignant, or benign conditions are not considered cancer. Cancer screenings do not necessarily indicate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['cancer free', 'in remission', 'no evidence of disease']"</t>
  </si>
  <si>
    <t xml:space="preserve">Synthetic keyword → "cancer free", "in remission", "no evidence of disease"
Exclusion → "cancer screening" </t>
  </si>
  <si>
    <t>If multiple cancers, then label 'DROP'</t>
  </si>
  <si>
    <t>What was the date of the patient's most recent {keyword} diagnosis? If the patient has cancer but no diagnosis date is specified, return U. If the record gives no indication of cancer, return X If only the month and year are given, assume the date was the 15th. If only the year is given, assume the date was July 2. Answer in the format YYYYMMDD, including leading zeros.
Keywords
['in situ', 'non-invasive', 'non invasive', 'stage 0', 'stage 1', 'stage 2', 'stage 3', 'stage 4', 'stage I', 'stage II', 'stage III', 'stage IV', 'metastatic']</t>
  </si>
  <si>
    <t>Synthetic keyword → "cancer [insert number/date]"
Exclusion → "cancer screening"</t>
  </si>
  <si>
    <t>What was the maximum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['in situ', 'non-invasive', 'non invasive', 'stage 0', 'stage 1', 'stage 2', 'stage 3', 'stage 4', 'stage I', 'stage II', 'stage III', 'stage IV', 'metastatic']</t>
  </si>
  <si>
    <t>Synthetic keyword → "In situ", "non-invasive", "stage 0", "stage 1", "stage 2", "stage 3", "stage 4", "metastatic"
Exclusion → "cancer screening"</t>
  </si>
  <si>
    <t>What was the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In-situ or non-invasive melanoma are stage 0. &lt;=2mm melanoma are stage I. &gt;2mm melanoma are stage II or III. Options are: A. Stage 0, B. Stage I, C. Stage II or III, D. Stage IV, E. Unknown, F. Patient does not have cancer.
Keywords
['in situ', 'non-invasive', 'non invasive', 'stage 0', 'stage 1', 'stage 2', 'stage 3', 'stage 4', 'stage I', 'stage II', 'stage III', 'stage IV', 'metastatic']</t>
  </si>
  <si>
    <t>Synthetic keyword → "acquired immunodeficiency syndrome", "primary immunodeficiency", "immune deficiency"</t>
  </si>
  <si>
    <t>immunosuppressed disease 1</t>
  </si>
  <si>
    <t>MGB Synthetic Ignore</t>
  </si>
  <si>
    <t>Not enough +ves</t>
  </si>
  <si>
    <t>Does this medical record indicate that the patient had an immunosuppressed disease, including leukemia, lymphoma, HIV, AIDS, or immune deficiency? Options are: A. Yes, B. No
Keywords
['acquired immunodeficiency syndrome', 'primary immunodeficiency', 'immune deficiency']</t>
  </si>
  <si>
    <t>immunosuppressed disease 2</t>
  </si>
  <si>
    <t>Does this medical record indicate that the patient had an immunosuppressed disease, including leukemia, lymphoma, HIV, AIDS, or immune deficiency? Options are: A. Yes, B. No
Keywords
['human immunodeficiency virus', 'acquired immunodeficiency syndrome', 'primary immunodeficiency', 'immune deficiency', 'acute lymphoblastic leukemia', 'acute myeloid leukemia', 'chronic lymphocytic leukemia', 'chronic myeloid leukemia', 'non-Hodgkin lymphoma', 'Hodgkin lymphoma', 'small lymphocytic lymphoma', 'lymphoproliferative disorder']</t>
  </si>
  <si>
    <t>Synthetic keyword → "human immunodeficiency virus", "acquired immunodeficiency syndrome", "primary immunodeficiency", "immune deficiency", "acute lymphoblastic leukemia", "acute myeloid leukemia", "chronic lymphocytic leukemia", "chronic myeloid leukemia", "non-Hodgkin lymphoma", "Hodgkin lymphoma", "small lymphocytic lymphoma", "lymphoproliferative disorder"</t>
  </si>
  <si>
    <t>What was the date of the patient's most recent organ transplant? Do not include transplant types: {', '.join(EXCLUDED_TRANSPLANTS)}. If the patient received a transplant but no date is specified, return U. If the record gives no indication of transplant, return X {DATE_INTERPOLATION_STR}
Keywords
['status post liver transplant', 'status post kidney transplant', 'status post pancreas transplant', 'status post heart transplant', 'status post lung transplant', 'status post intestine transplant', 'status post cornea transplant', 'status post middle ear transplant', 'status post skin transplant', 'status post bone transplant', 'status post bone marrow transplant', 'status post heart valve transplant', 'status post connective tissue transplant', 'status post vascular composite allograft transplant', 's/p liver transplant', 's/p kidney transplant', 's/p pancreas transplant', 's/p heart transplant', 's/p lung transplant', 's/p intestine transplant', 's/p cornea transplant', 's/p middle ear transplant', 's/p skin transplant', 's/p bone transplant', 's/p bone marrow transplant', 's/p heart valve transplant', 's/p connective tissue transplant', 's/p vascular composite allograft transplant']</t>
  </si>
  <si>
    <t>Synthetic keyword → "transplant on" (i.e. "transplant on [insert date]", "s/p [specific type] transplant", "status post [specific type] transplant", "transplant [date]"
Exclusion → “corneal transplant”, “skin graft”, “hair transplant”, “osteochondral transplant”, “cartilage transplant”, “bone transplant”, “valve transplant”, “autograft”, "hip transplant", "shoulder transplant", "tendon transplant", "fecal transplant", "skin transplant"</t>
  </si>
  <si>
    <t>If multiple transplants, then label 'DROP'</t>
  </si>
  <si>
    <t>cancer_status_at_last_follow_up</t>
  </si>
  <si>
    <t>MGB Synthetic Mistake</t>
  </si>
  <si>
    <t>#</t>
  </si>
  <si>
    <t>Task</t>
  </si>
  <si>
    <t>Responsible Party</t>
  </si>
  <si>
    <t>Completed?</t>
  </si>
  <si>
    <t>Instruction Text / Notes</t>
  </si>
  <si>
    <t>Update .md file for below based on rules discussed today, then send James location for .md files so he can update Prompt Iteration accordingly:
MGB / MIMIC / SYNTHETIC MGB:
1. cancer_date_free
2. cancer_date_of_diagnosis
3. cancer_maximum_stage
4. cancer_stage_at_diagnosis
5. transplant_date</t>
  </si>
  <si>
    <t>Matt</t>
  </si>
  <si>
    <t>Pending</t>
  </si>
  <si>
    <t>Careful with the following:
- cancer_maximum_stage
- cancer_date_free</t>
  </si>
  <si>
    <t>Ensure .md file prompts between MGB / MIMIC / SYNTHETIC match for the following variables:
1. antibiotic_duration
2. antibiotics
3. cancer_maximum_stage
4. cancer_stage_at_diagnosis
5. transplant
6. transplant_date
These presently were not simultaneously updated. Inform James if any are updated.</t>
  </si>
  <si>
    <t>Need more info / have questions</t>
  </si>
  <si>
    <t>Ignore for now since all prompts have been updating simultaneously.
James will reorganize timeline later.</t>
  </si>
  <si>
    <t>Re-Label based on tab "Tracking Sheet", then complete consensus</t>
  </si>
  <si>
    <t>Dorsa &amp; James</t>
  </si>
  <si>
    <t>Yes</t>
  </si>
  <si>
    <t>Discuss Prompt Iteration Timeline Fix</t>
  </si>
  <si>
    <t>Everyone!</t>
  </si>
  <si>
    <t>Fine Tuning Notes</t>
  </si>
  <si>
    <t>Date #1</t>
  </si>
  <si>
    <t>Prompt #1</t>
  </si>
  <si>
    <t>Date #2</t>
  </si>
  <si>
    <t>Date #3</t>
  </si>
  <si>
    <t>Date #4</t>
  </si>
  <si>
    <t>Date #5</t>
  </si>
  <si>
    <t>Date #6</t>
  </si>
  <si>
    <t>Date #7</t>
  </si>
  <si>
    <t>Date #8</t>
  </si>
  <si>
    <t>Date #9</t>
  </si>
  <si>
    <t>Prompt #9</t>
  </si>
  <si>
    <t>Date #9 v2</t>
  </si>
  <si>
    <t>Prompt #9 v2</t>
  </si>
  <si>
    <t>Date #10</t>
  </si>
  <si>
    <t>Prompt #10</t>
  </si>
  <si>
    <t>Date #11</t>
  </si>
  <si>
    <t>Prompt #11</t>
  </si>
  <si>
    <t>Date #12</t>
  </si>
  <si>
    <t>Prompt #12</t>
  </si>
  <si>
    <t>alcohol_amount
Query
How many drinks per week does this patient drink? Options are: A. 0, B. 1-2, C. 3-5, D. 6+, E. Drinker but unknown quantity, F. No indication of alcohol status
Keywords
['alcohol', 'drinks', 'etoh']</t>
  </si>
  <si>
    <t>alcohol_amount
Query
Query function: query Example query: How many drinks per week does this patient drink? Options are: A. 0 (sober or does not drink), B. 1-2, C. 3-5, D. 6+, E. Drinker but unknown quantity, F. No indication of alcohol status
Keywords
['alcohol', 'drinks', 'etoh']
Number of records with keyword: 100
Number of records: 100
Number of chunks: 289</t>
  </si>
  <si>
    <t>alcohol_amount
Query
Query function: query Example query: How many drinks per week does this patient drink? Round all values up to the nearest integer (i.e. 0.1 -&gt; 1). Options are: A. 0 (sober or does not drink), B. 1-2, C. 3-5, D. 6+, E. Drinker but unknown quantity, F. No indication of alcohol status
Keywords
['alcohol', 'drinks', 'etoh']
Number of records with keyword: 710
Number of records: 710
Number of chunks: 200</t>
  </si>
  <si>
    <t>alcohol_status
Query
What is the alcohol status of this patient? (Note: ETOH is the abbreviation for ethanol.) Options are: A. Never drank, B. Former drinker, C. Current drinker, D. No indication of alcohol status
Keywords
['alcohol', 'drinks', 'etoh']</t>
  </si>
  <si>
    <t>alcohol_status
Query
Query function: query Example query: What is the alcohol status of this patient? (Note: ETOH is the abbreviation for ethanol.) Options are: A. Currently Drinks, B. Does not currently drink, C. No indication of alcohol status
Keywords
['alcohol', 'drinks', 'etoh']
Number of records with keyword: 736
Number of records: 736
Number of chunks: 200</t>
  </si>
  <si>
    <t>antibiotic_duration
Query
How long in days did the patient take antibiotics, in days? The following are applicable antibiotics: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Options are: A. Never, B. &lt;30, C. 30-90, D. 91-180, E. &gt;180, F. Antibiotic but unknown duration, G. No indication of antibiotic use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</si>
  <si>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antibiotic_duration
Query
Query function:
Here’s a natural-language version of your code, rewritten as step-by-step instructions for a human annotator. I kept your exact prompts inside quotes, but reformatted the logic so it’s clear and easy to follow without programming background.
Step 1. Did the patient take the antibiotic?
Ask: "Did the patient take {keyword}? If the antibiotic is listed as an allergy, consider as 'no indication of antibiotic use'. Options are A. yes, B. no"
If the answer is A (yes) → continue to Step 2.
If the answer is B (no) → set the final label to A ("no indication of antibiotic use") and stop.
Step 2. When did the patient begin taking the antibiotic?
Ask: "When did the patient begin taking {keyword}? If no start date is mentioned, answer 'NA'. If only the month and year are given, assume it was given on the 15th of the month. If only the year is given, assume it was given on the 15th of June. Answer in the format MM/DD/YYYY, including leading zeros."
If the answer is "NA" or can’t be determined → set the final label to F ("start date unknown") and stop.
Step 3. When did the patient stop taking the antibiotic?
Ask: "When did the patient stop taking {keyword}? If no end date is mentioned, answer 'NA'. If only the month and year are given, assume it was given on the 15th of the month. If only the year is given, assume it was given on the 15th of June. Answer in the format MM/DD/YYYY, including leading zeros. DO NOT try to infer the end date from the number of pills prescribed."
If you get a valid end date → calculate days on antibiotic as the number of days between start date and end date.
If the answer is "NA" or can’t be determined → go to Step 4.
Step 4. If the end date is unknown, estimate duration from pill counts
Ask: "How long was the patient on {keyword}? If you need to, infer the duration on the number of pills prescribed, the number of refills, and the frequency of the dose. DO NOT assume the patient takes one pill per day. For example, if the patient was prescribed 10 pills, and the frequency is 2 pills per day, the patient took the medication for 5 days. Note that 'refills' are in addition to the initial prescription, so 2 refills of 10 pills means the patient received 30 pills total. When calculating duration, DO NOT include days that the patient did not take the medication. For example, if the patient took the medication once a week for 4 weeks, the patient took the medication for 4 days. If there is not enough information, answer 'NA'. Assume 30 days per month. Answer with a number (of days)."
If a valid number of days is given → add that number to the start date to get an approximate end date.
If the answer is "NA", then the end date remains unknown.
Step 5. Interpret the duration
If the calculated duration (days on antibiotic) is missing, negative, or unrealistically large (&gt;1,000,000 days):
If a start date exists → set label to G ("invalid duration").
If no start date → set label to F ("start date unknown").
Otherwise, assign labels based on the duration:
≤ 15 days → label B
16–45 days → label C
46–135 days → label D
&gt;135 days → label E
Final Output
For each patient, record:
Start date
End date (or None if not known)
Days on antibiotic (if calculable)
Whether they took the antibiotic (yes/no)
The final label (A–G, as determined above)
Example query: None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Number of records with keyword: 100
Number of records: 100
Number of chunks: 339</t>
  </si>
  <si>
    <t>antibiotic_duration
Query
Query function:
Step 1. Did the patient take the antibiotic?
Ask: "Did the patient take {keyword}? If the antibiotic is listed as an allergy, consider as 'no indication of antibiotic use'. Options are A. yes, B. no"
If the answer is A (yes) → continue to Step 2.
If the answer is B (no) → set the final label to A ("no indication of antibiotic use") and stop.
Step 2. When did the patient begin taking the antibiotic?
Ask: "When did the patient begin taking {keyword}? If no start date is mentioned, answer 'NA'. If only the month and year are given, assume it was given on the 15th of the month. If only the year is given, assume it was given on the 15th of June. Answer in the format MM/DD/YYYY, including leading zeros."
If the answer is "NA" or can’t be determined → set the final label to F ("start date unknown") and stop.
Step 3. When did the patient stop taking the antibiotic?
Ask: "When did the patient stop taking {keyword}? If no end date is mentioned, answer 'NA'. If only the month and year are given, assume it was given on the 15th of the month. If only the year is given, assume it was given on the 15th of June. Answer in the format MM/DD/YYYY, including leading zeros. DO NOT try to infer the end date from the number of pills prescribed."
If you get a valid end date → calculate days on antibiotic as the number of days between start date and end date.
If the answer is "NA" or can’t be determined → go to Step 4.
Step 4. If the end date is unknown, estimate duration from pill counts
Ask: "How long was the patient on {keyword}? If you need to, infer the duration on the number of pills prescribed, the number of refills, and the frequency of the dose. DO NOT assume the patient takes one pill per day. For example, if the patient was prescribed 10 pills, and the frequency is 2 pills per day, the patient took the medication for 5 days. Note that 'refills' are in addition to the initial prescription, so 2 refills of 10 pills means the patient received 30 pills total. When calculating duration, DO NOT include days that the patient did not take the medication. For example, if the patient took the medication once a week for 4 weeks, the patient took the medication for 4 days. If there is not enough information, answer 'NA'. Assume 30 days per month. Answer with a number (of days)."
If a valid number of days is given → add that number to the start date to get an approximate end date.
If the answer is "NA", then the end date remains unknown.
Step 5. Interpret the duration
If the calculated duration (days on antibiotic) is missing, negative, or unrealistically large (&gt;1,000,000 days):
If a start date exists → set label to G ("invalid duration").
If no start date → set label to F ("start date unknown").
Otherwise, assign labels based on the duration:
≤ 15 days → label B
16–45 days → label C
46–135 days → label D
&gt;135 days → label E
Final Output
For each patient, record:
Start date
End date (or None if not known)
Days on antibiotic (if calculable)
Whether they took the antibiotic (yes/no)
The final label (A–G, as determined above)
Example query: None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Number of records with keyword: 100
Number of records: 100
Number of chunks: 339</t>
  </si>
  <si>
    <t>antibiotic_duration
Query
Query function:
How long did the patient take the {abx}? Round all values up to the nearest integer (i.e. 0.1 -&gt; 1). A. 0 days (no indication of antibiotic use), B. 1-15 days, C. 16-45 days, D. 46-135 days, E. 136+ days, F. Taken but start date unknown G. Start date known but end date unknown
Step 1. Did the patient take the antibiotic?
Ask: "Did the patient take {keyword}? If the antibiotic is listed as an allergy, consider as 'no indication of antibiotic use'. Options are A. yes, B. no"
If the answer is (yes) → continue to Step 2.
If the answer is (no) → set the final label to A ("no indication of antibiotic use") and stop.
Step 2. When did the patient begin taking the antibiotic?
Ask: "When did the patient begin taking {keyword}? If no start date is mentioned, answer 'NA'. If only the month and year are given, assume it was given on the 15th of the month. If only the year is given, assume it was given on the 15th of June. Answer in the format MM/DD/YYYY, including leading zeros."
If the answer is "NA" or can’t be determined → set the final label to F ("start date unknown") and stop.
Step 3. When did the patient stop taking the antibiotic?
Ask: "When did the patient stop taking {keyword}? If no end date is mentioned, answer 'NA'. If only the month and year are given, assume it was given on the 15th of the month. If only the year is given, assume it was given on the 15th of June. Answer in the format MM/DD/YYYY, including leading zeros. DO NOT try to infer the end date from the number of pills prescribed."
If you get a valid end date → calculate days on antibiotic as the number of days between start date and end date.
If the answer is "NA" or can’t be determined → go to Step 4.
Step 4. If the end date is unknown, estimate duration from pill counts
Ask: "How long was the patient on {keyword}? If you need to, infer the duration on the number of pills prescribed, the number of refills, and the frequency of the dose. DO NOT assume the patient takes one pill per day. For example, if the patient was prescribed 10 pills, and the frequency is 2 pills per day, the patient took the medication for 5 days. Note that 'refills' are in addition to the initial prescription, so 2 refills of 10 pills means the patient received 30 pills total. When calculating duration, DO NOT include days that the patient did not take the medication. For example, if the patient took the medication once a week for 4 weeks, the patient took the medication for 4 days. If there is not enough information, answer 'NA'. Assume 30 days per month. Answer with a number (of days)."
If a valid number of days is given → add that number to the start date to get an approximate end date.
If the answer is "NA", then the end date remains unknown.
Step 5. Interpret the duration
If the calculated duration (days on antibiotic) is missing, negative, or unrealistically large (&gt;1,000,000 days):
If a start date exists → set label to G ("invalid duration").
If no start date → set label to F ("start date unknown").
Otherwise, assign labels based on the duration:
≤ 15 days → label B
16–45 days → label C
46–135 days → label D
&gt;135 days → label E
Final Output
For each patient, record:
Start date
End date (or None if not known)
Days on antibiotic (if calculable)
Whether they took the antibiotic (yes/no)
The final label (A–G, as determined above)
Example query: None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Number of records with keyword: 100
Number of records: 100
Number of chunks: 339</t>
  </si>
  <si>
    <t>antibiotic_duration
Query
Query function:
How long did the patient take the {abx}? Round all values up to the nearest integer (i.e. 0.1 -&gt; 1). A. 0 days (no indication of antibiotic use), B. 1-15 days, C. 16-45 days, D. 46-135 days, E. 136+ days, F. Taken but dates unknown
Step 1. Did the patient take the antibiotic?
Ask: "Did the patient take {keyword}? If the antibiotic is listed as an allergy, consider as 'no indication of antibiotic use'. Options are A. yes, B. no"
If the answer is (yes) → continue to Step 2.
If the answer is (no) → set the final label to A ("no indication of antibiotic use") and stop.
Step 2. When did the patient begin taking the antibiotic?
Ask: "When did the patient begin taking {keyword}? If no start date is mentioned, answer 'NA'. If only the month and year are given, assume it was given on the 15th of the month. If only the year is given, assume it was given on the 15th of June. Answer in the format MM/DD/YYYY, including leading zeros."
If the answer is "NA" or can’t be determined → set the final label to F ("start date unknown") and stop.
Step 3. When did the patient stop taking the antibiotic?
Ask: "When did the patient stop taking {keyword}? If no end date is mentioned, answer 'NA'. If only the month and year are given, assume it was given on the 15th of the month. If only the year is given, assume it was given on the 15th of June. Answer in the format MM/DD/YYYY, including leading zeros. DO NOT try to infer the end date from the number of pills prescribed."
If you get a valid end date → calculate days on antibiotic as the number of days between start date and end date.
If the answer is "NA" or can’t be determined → go to Step 4.
Step 4. If the start or end date is unknown, estimate duration from pill counts
Ask: "How long was the patient on {keyword}? If you need to, infer the duration on the number of pills prescribed, the number of refills, and the frequency of the dose. DO NOT assume the patient takes one pill per day. For example, if the patient was prescribed 10 pills, and the frequency is 2 pills per day, the patient took the medication for 5 days. Note that 'refills' are in addition to the initial prescription, so 2 refills of 10 pills means the patient received 30 pills total. When calculating duration, DO NOT include days that the patient did not take the medication. For example, if the patient took the medication once a week for 4 weeks, the patient took the medication for 4 days. If there is not enough information, answer 'NA'. Assume 30 days per month. Answer with a number (of days)."
If a valid number of days is given → add that number to the start date to get an approximate end date.
If the answer is "NA", then the end date remains unknown.
Step 5. Interpret the duration
If the calculated duration (days on antibiotic) is missing, negative, or unrealistically large (&gt;1,000,000 days): set label to F ("dates unknown").
Otherwise, assign labels based on the duration:
≤ 15 days → label B
16–45 days → label C
46–135 days → label D
&gt;135 days → label E
Final Output
For each patient, record:
Start date
End date (or None if not known)
Days on antibiotic (if calculable)
Whether they took the antibiotic (yes/no)
The final label (A–G, as determined above)
Example query: None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Number of records with keyword: 100
Number of records: 100
Number of chunks: 339</t>
  </si>
  <si>
    <t>Error in file</t>
  </si>
  <si>
    <t>antibiotics
Query
Does this medical record indicate that the patient took any of the following antibiotics: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Options are: A. Yes, B. No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</si>
  <si>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antibiotics
Query
Query function: query Example query: 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Options are: A. Yes, B. No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Number of records with keyword: 200
Number of records: 200
Number of chunks: 777</t>
  </si>
  <si>
    <t>antibiotics
Query
Query function: query Example query: 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Ignore those mentioned as topical (i.e. cream, ointment) or ophthalmic solution as well. Options are: A. Yes, B. No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</si>
  <si>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cancer_cancer
Query
Does this medical record indicate that the patient has a history of cancer? Options are: A. Yes, B. No
Keywords
['cancer', 'carcinoma', 'melanoma', 'mesothelioma', 'sarcoma', 'lymphoma', 'leukemia', 'myeloma', 'malignant', 'tumor', 'myelodysplastic']</t>
  </si>
  <si>
    <t>cancer_cancer
Query
Query function: query Example query: Does this medical record indicate that the patient has a history of cancer? Pre-cancer, atypia, dysplasia, pre-malignant, non-malignant, or benign conditions are not considered cancer. Ignore family history of cancer (e.g. mother, father, sister, brother, etc.). Options are: A. Yes, B. No
Keywords
['cancer', 'carcinoma', 'melanoma', 'mesothelioma', 'sarcoma', 'lymphoma', 'leukemia', 'myeloma', 'malignant', 'tumor', 'myelodysplastic']
Number of records with keyword: 200
Number of records: 200
Number of chunks: 664</t>
  </si>
  <si>
    <t>cancer_cancer
Query
Query function: query Example query: Does this medical record indicate that the patient has a history of cancer? Only consider tumors as cancer if they are malignant. Pre-cancer, atypia, dysplasia, pre-malignant, non-malignant, or benign conditions are not considered cancer. Ignore family history of cancer (e.g. mother, father, sister, brother, etc.). Options are: A. Yes, B. No
Keywords
['cancer', 'carcinoma', 'melanoma', 'mesothelioma', 'sarcoma', 'lymphoma', 'leukemia', 'myeloma', 'malignant', 'tumor', 'myelodysplastic']</t>
  </si>
  <si>
    <t>cancer_date_free
Query
What is the date the patient was declared cancer free? Cancer free can be defined as: cancer free, in remission, complete response, no evidence of disease, or disease free. Format as YYYY-MM-DD. If the patient had cancer but no cancer free date is specified, return U. If the record gives no indication of cancer, return X
Keywords
['cancer', 'carcinoma', 'melanoma', 'mesothelioma', 'sarcoma', 'lymphoma', 'leukemia', 'myeloma', 'malignant', 'tumor', 'myelodysplastic']</t>
  </si>
  <si>
    <t>cancer_date_free
Query
What is the date the patient was declared cancer free? Pre-cancer, atypia, dysplasia, pre-malignant, non-malignant, or benign conditions are not considered cancer. Ignore family history of cancer (e.g. mother, father, sister, brother, etc.). Cancer free can be defined as: cancer free, in remission, complete response, no evidence of disease, or disease free. Format as YYYYMMDD. If the patient had cancer but no cancer free date is specified, return U. If the record gives no indication of cancer, return X
Keywords
['cancer', 'carcinoma', 'melanoma', 'mesothelioma', 'sarcoma', 'lymphoma', 'leukemia', 'myeloma', 'malignant', 'tumor', 'myelodysplastic']</t>
  </si>
  <si>
    <t>cancer_date_free
Query
Query function: query Example query: What is the date the patient was declared cancer free of {keyword}? Pre-cancer, atypia, dysplasia, pre-malignant, non-malignant, or benign conditions are not considered cancer. Cancer screenings do not necessarily indicate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['cancer', 'carcinoma', 'melanoma', 'mesothelioma', 'sarcoma', 'lymphoma', 'leukemia', 'myeloma', 'malignant', 'tumor', 'myelodysplastic']</t>
  </si>
  <si>
    <t>cancer_date_free
Query
Query function: query Example query: What is the date the patient was declared cancer free of {keyword}? Pre-cancer, atypia, dysplasia, pre-malignant, non-malignant, or benign conditions are not considered cancer. Cancer screenings do not necessarily indicate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sarcoma']Pre-cancer, atypia, dysplasia, pre-malignant, non-malignant, or benign conditions are not considered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t>
  </si>
  <si>
    <t>cancer_date_of_diagnosis
Query
What was the date of the patient's most recent cancer diagnosis? Format as YYYY-MM-DD. If the patient has cancer but no diagnosis date is specified, return U. If the record gives no indication of cancer, return X
Keywords
['cancer', 'carcinoma', 'melanoma', 'mesothelioma', 'sarcoma', 'lymphoma', 'leukemia', 'myeloma', 'malignant', 'tumor', 'myelodysplastic']</t>
  </si>
  <si>
    <t>cancer_date_of_diagnosis
Query
What was the date of the patient's most recent cancer diagnosis? Format as YYYYMMDD. If the patient has cancer but no diagnosis date is specified, return U. If the record gives no indication of cancer, return X
Keywords
['cancer', 'carcinoma', 'melanoma', 'mesothelioma', 'sarcoma', 'lymphoma', 'leukemia', 'myeloma', 'malignant', 'tumor', 'myelodysplastic']</t>
  </si>
  <si>
    <t>cancer_date_of_diagnosis
Query
Query function: query Example query: What was the date of the patient's most recent {keyword} diagnosis? Format as YYYYMMDD. If the patient has cancer but no diagnosis date is specified, return U. If the record gives no indication of cancer, return X
Keywords
['cancer', 'carcinoma', 'melanoma', 'mesothelioma', 'sarcoma', 'lymphoma', 'leukemia', 'myeloma', 'malignant', 'tumor', 'myelodysplastic']</t>
  </si>
  <si>
    <t>cancer_date_of_diagnosis
Query
Query function: query Example query: What was the date of the patient's most recent {keyword} diagnosis? If the patient has cancer but no diagnosis date is specified, return U. If the record gives no indication of cancer, return X If only the month and year are given, assume the date was the 15th. If only the year is given, assume the date was July 2. Answer in the format YYYYMMDD, including leading zeros.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</si>
  <si>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cancer_family_any
Query
Does this medical record indicate that any member of the patient's family has a history of cancer? Options are: A. Yes, B. No
Keywords
['cancer', 'carcinoma', 'melanoma', 'mesothelioma', 'sarcoma', 'lymphoma', 'leukemia', 'myeloma', 'malignant', 'tumor', 'myelodysplastic']</t>
  </si>
  <si>
    <t>cancer_family_any
Query
Query function: query Example query: Does this medical record indicate that any member of the patient's family has a history of cancer? Pre-cancer, atypia, dysplasia, pre-malignant, non-malignant, or benign conditions are not considered cancer. Options are: A. Yes, B. No
Keywords
['cancer', 'carcinoma', 'melanoma', 'mesothelioma', 'sarcoma', 'lymphoma', 'leukemia', 'myeloma', 'malignant', 'tumor', 'myelodysplastic']
Number of records with keyword: 100
Number of records: 100
Number of chunks: 377</t>
  </si>
  <si>
    <t>cancer_maximum_stage
Query
What was the maximum stage of the patient's most recent cancer diagnosis? Stage 0 is defined as in situ, non-invasive, precancerous,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['cancer', 'carcinoma', 'melanoma', 'mesothelioma', 'sarcoma', 'lymphoma', 'leukemia', 'myeloma', 'malignant', 'tumor', 'myelodysplastic']</t>
  </si>
  <si>
    <t>cancer_maximum_stage
Query
Query function: query Example query: What was the maximum stage of the patient's most recent cancer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['cancer', 'carcinoma', 'melanoma', 'mesothelioma', 'sarcoma', 'lymphoma', 'leukemia', 'myeloma', 'malignant', 'tumor', 'myelodysplastic']
Number of records with keyword: 100
Number of records: 100
Number of chunks: 456</t>
  </si>
  <si>
    <t>cancer_maximum_stage
Query
Query function: query Example query: What was the maximum stage of the patient's most recent {keyword}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['cancer', 'carcinoma', 'melanoma', 'mesothelioma', 'sarcoma', 'lymphoma', 'leukemia', 'myeloma', 'malignant', 'tumor', 'myelodysplastic']</t>
  </si>
  <si>
    <t>cancer_maximum_stage
Query
Query function: query Example query: What was the maximum stage of the patient's most recent {keyword}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</si>
  <si>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cancer_stage_at_diagnosis
Query
What was the stage of the patient's most recent cancer diagnosis? Stage 0 is defined as in situ, non-invasive, precancerous, or carcinoma in situ. Stage I is defined as localized. Stage II and III are defined as locally advanced. Stage IV is defined as metastatic. Options are: A. Stage 0, B. Stage I, C. Stage II or III, D. Stage IV, E. Unknown, F. Patient does not have cancer.
Keywords
['cancer', 'carcinoma', 'melanoma', 'mesothelioma', 'sarcoma', 'lymphoma', 'leukemia', 'myeloma', 'malignant', 'tumor', 'myelodysplastic']</t>
  </si>
  <si>
    <t>cancer_stage_at_diagnosis
Query
Query function: query Example query: What was the stage of the patient's most recent cancer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Unknown, F. Patient does not have cancer.
Keywords
['cancer', 'carcinoma', 'melanoma', 'mesothelioma', 'sarcoma', 'lymphoma', 'leukemia', 'myeloma', 'malignant', 'tumor', 'myelodysplastic']
Number of records with keyword: 200
Number of records: 200
Number of chunks: 730</t>
  </si>
  <si>
    <t>cancer_stage_at_diagnosis
Query
Query function: query Example query: What was the stage of the patient's most recent {keyword}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Unknown, F. Patient does not have cancer.
Keywords
['cancer', 'carcinoma', 'melanoma', 'mesothelioma', 'sarcoma', 'lymphoma', 'leukemia', 'myeloma', 'malignant', 'tumor', 'myelodysplastic']</t>
  </si>
  <si>
    <t>cancer_stage_at_diagnosis
Query
Query function: query Example query: What was the stage of the patient's most recent {keyword}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</si>
  <si>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immunosuppressed_disease
Query
Does this medical record indicate that the patient had an immunosuppressed disease, including leukemia, lymphoma, HIV, AIDS, or immune deficiency? Options are: A. Yes, B. No
Keywords
['leukemia', 'lymphoma', 'HIV', 'immune deficiency', 'immunodeficiency', 'immunosuppressed', 'immunocompromised', 'AIDS']</t>
  </si>
  <si>
    <t>smoking_amount
Query
How many packs per week does this patient smoke? If a range is given, take the upper bound. Options are: A. 0 (does not smoke), B. 1-2, C. 3-5, D. 6+, E. Smoker but unknown quantity, F. No indication of smoking status
Keywords
['smokes', 'smoker', 'smoking', 'tobacco']</t>
  </si>
  <si>
    <t>smoking_amount
Query
Query function: query Example query: How many packs per week does this patient smoke? If a range is given, take the upper bound. Round all values up to the nearest integer (i.e. 0.1 -&gt; 1).Options are: A. 0 (does not smoke), B. 1-2, C. 3-5, D. 6+, E. Smoker but unknown quantity, F. No indication of smoking status
Keywords
['smokes', 'smoker', 'smoking', 'tobacco']
Number of records with keyword: 753
Number of records: 753
Number of chunks: 200</t>
  </si>
  <si>
    <t>smoking_status
Query
What is the smoking status of this patient? Options are: A. Never smoked, B. Former smoker, C. Current smoker, D. Unknown
Keywords
['smokes', 'smoker', 'smoking', 'tobacco']</t>
  </si>
  <si>
    <t>smoking_status
Query
Query function: query Example query: What is the smoking status of this patient? If it just says 'smoker: no', consider it as 'never smoked'. Options are: A. Never smoked, B. Former smoker, C. Current smoker, D. Unknown
Keywords
['smokes', 'smoker', 'smoking', 'tobacco']</t>
  </si>
  <si>
    <t>transplant
Query
Does this medical record indicate that the patient received a transplant, solid organ transplant, stem cell transplant, or bone marrow transplant? Options are: A. Yes, B. No
Keywords
['transplant', 'transplantation']</t>
  </si>
  <si>
    <t>transplant
Query
Query function: query Example query: Does this medical record indicate that the patient received a transplant, solid organ transplant, stem cell transplant, or bone marrow transplant? Do not include osteochondral allograft transplantation nor hair transplants. Options are: A. Yes, B. No
Keywords
['transplant', 'transplantation']</t>
  </si>
  <si>
    <t>transplant
Query
Query function: query Example query: Does this medical record indicate that the patient received a transplant, solid organ transplant, stem cell transplant, or bone marrow transplant? Options are: A. Yes, B. No
Keywords
['transplant', 'transplantation']</t>
  </si>
  <si>
    <t>transplant_date
Query
What was the date of the patient's most recent organ transplant? Format as YYYY-MM-DD. If there was no transplant, return U. If the record gives no indication of transplant, return X
Keywords
['transplant', 'transplantation']</t>
  </si>
  <si>
    <t>transplant_date
Query
What was the date of the patient's most recent organ transplant? Format as YYYYMMDD. If there was no transplant, return U. If the record gives no indication of transplant, return X
Keywords
['transplant', 'transplantation']</t>
  </si>
  <si>
    <t>transplant_date
Query
Query function: query Example query: What was the date of the patient's most recent organ transplant? Format as YYYYMMDD. If the patient received a transplant but no date is specified, return U. If the record gives no indication of transplant, return X
Keywords
['transplant', 'transplantation']</t>
  </si>
  <si>
    <t>alcohol_amount
Query
Query function: query Example query: How many drinks per week does this patient drink? Round all values up to the nearest integer (i.e. 0.1 -&gt; 1). Options are: A. 0 (sober or does not drink), B. 1-2, C. 3-5, D. 6+, E. Drinker but unknown quantity, F. No indication of alcohol status
Keywords
['alcohol', 'drinks', 'etoh']</t>
  </si>
  <si>
    <t>alcohol_status
Query
Query function: query Example query: What is the alcohol status of this patient? (Note: ETOH is the abbreviation for ethanol.) Options are: A. Currently Drinks, B. Does not currently drink, C. No indication of alcohol status
Keywords
['alcohol', 'drinks', 'etoh']</t>
  </si>
  <si>
    <t>antibiotic_duration
Query
Query function: query Example query: # antibiotic_duration
Query
Query function:
How long did the patient take the {abx}? Round all values up to the nearest integer (i.e. 0.1 -&gt; 1). A. 0 days (no indication of antibiotic use), B. 1-15 days, C. 16-45 days, D. 46-135 days, E. 136+ days, F. Taken but dates unknown
Step 1. Did the patient take the antibiotic?
Ask: "Did the patient take {keyword}? If the antibiotic is listed as an allergy, consider as 'no indication of antibiotic use'. Options are A. yes, B. no"
If the answer is (yes) → continue to Step 2.
If the answer is (no) → set the final label to A ("no indication of antibiotic use") and stop.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If a valid number of days is given → use this number as the total duration (final answer)
If the answer is "NA" or can’t be determined → move on to step 3.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(aka BID),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If a valid pill count, number of refills, and frequency of the dose is given → calculate the total duration (final answer)
If the answer is "NA" or can’t be determined → move on to step 4.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If a valid number of days is given → use this number as the total duration (final answer)
If the answer is "NA", then the total duration remains unknown.
Step 5. If the total duration is not explicitly written somewhere in the note AND the pill counts, number of refills and the frequency of the dose are not provided, then answer 'NA'. Answer with a number (of days). Do NOT use start and/or end dates to estimate total duration"**
Step 6. Interpret the duration
If the calculated duration (days on antibiotic) is missing, negative, or unrealistically large (&gt;1,000,000 days): set label to F ("dates unknown").
Otherwise, assign labels based on the duration:
≤15 days → label B
16–45 days → label C
46–135 days → label D
&gt;135 days → label E
Final Output
For each patient, record:
Start date (if known)
End date (if known)
Days on antibiotic (if calculable)
Whether they took the antibiotic (yes/no)
The final label (A–G, as determined above)
Example query: None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Number of records with keyword: 100
Number of records: 100
Number of chunks: 339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</si>
  <si>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antibiotics
Query
Query function: query Example query: 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Options are: A. Yes, B. No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</si>
  <si>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cancer_date_free
Query
Query function: query Example query: What is the date the patient was declared cancer free of {keyword}? Pre-cancer, atypia, dysplasia, pre-malignant, non-malignant, or benign conditions are not considered cancer. Cancer screenings do not necessarily indicate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</si>
  <si>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cancer_family_any
Query
Query function: query Example query: Does this medical record indicate that any member of the patient's family has a history of cancer? Pre-cancer, atypia, dysplasia, pre-malignant, non-malignant, or benign conditions are not considered cancer. Options are: A. Yes, B. No
Keywords
['cancer', 'carcinoma', 'melanoma', 'mesothelioma', 'sarcoma', 'lymphoma', 'leukemia', 'myeloma', 'malignant', 'tumor', 'myelodysplastic']</t>
  </si>
  <si>
    <t>cancer_maximum_stage
Query
Query function: query Example query: What was the maximum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</si>
  <si>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cancer_stage_at_diagnosis
Query
Query function: query Example query: What was the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Options are: A. Stage 0, B. Stage I, C. Stage II or III, D. Stage IV, 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</si>
  <si>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immunosuppressed_disease
Query
Query function: query Example query: Does this medical record indicate that the patient had an immunosuppressed disease, including leukemia, lymphoma, HIV, AIDS, or immune deficiency? Options are: A. Yes, B. No
Keywords
['leukemia', 'lymphoma', 'HIV', 'immune deficiency', 'immunodeficiency', 'immunosuppressed', 'immunocompromised', 'AIDS']</t>
  </si>
  <si>
    <t>smoking_amount
Query
Query function: query Example query: How many packs per week does this patient smoke? If a range is given, take the upper bound. Round all values up to the nearest integer (i.e. 0.1 -&gt; 1).Options are: A. 0 (does not smoke), B. 1-2, C. 3-5, D. 6+, E. Smoker but unknown quantity, F. No indication of smoking status
Keywords
['smokes', 'smoker', 'smoking', 'tobacco']</t>
  </si>
  <si>
    <t>transplant
Query
Query function: query Example query: Does this medical record indicate that the patient received a transplant, solid organ transplant, stem cell transplant, or bone marrow transplant? Do not include osteochondral allograft, hair, osteochondrla, cartilage, corneal, fecal, hip, knee, and shoulder transplants. Options are: A. Yes, B. No
Keywords
['transplant', 'transplantation']</t>
  </si>
  <si>
    <t>transplant_date
Query
Query function: query Example query: What was the date of the patient's most recent organ transplant? If the patient received a transplant but no date is specified, return U. If the record gives no indication of transplant, return X {DATE_INTERPOLATION_STR}
Keywords
['transplant', 'transplantation']</t>
  </si>
  <si>
    <t>cancer_date_free
Query
Query function: query Example query: What is the date the patient was declared cancer free? Pre-cancer, atypia, dysplasia, pre-malignant, non-malignant, or benign conditions are not considered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['cancer free', 'in remission', 'no evidence of disease']</t>
  </si>
  <si>
    <t>cancer_date_free
Query
Query function: query Example query: What is the date the patient was declared cancer free of {keyword}? Pre-cancer, atypia, dysplasia, pre-malignant, non-malignant, or benign conditions are not considered cancer. Cancer screenings do not necessarily indicate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['cancer free', 'in remission', 'no evidence of disease']</t>
  </si>
  <si>
    <t>44, 65</t>
  </si>
  <si>
    <t>cancer_date_of_diagnosis
Query
Query function: query Example query: What was the date of the patient's most recent {keyword} diagnosis? If the patient has cancer but no diagnosis date is specified, return U. If the record gives no indication of cancer, return X If only the month and year are given, assume the date was the 15th. If only the year is given, assume the date was July 2. Answer in the format YYYYMMDD, including leading zeros.
Keywords
['in situ', 'non-invasive', 'non invasive', 'stage 0', 'stage 1', 'stage 2', 'stage 3', 'stage 4', 'stage I', 'stage II', 'stage III', 'stage IV', 'metastatic']</t>
  </si>
  <si>
    <t>58, 68, 70</t>
  </si>
  <si>
    <t>cancer_maximum_stage
Query
Query function: query Example query: What was the maximum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['in situ', 'non-invasive', 'non invasive', 'stage 0', 'stage 1', 'stage 2', 'stage 3', 'stage 4', 'stage I', 'stage II', 'stage III', 'stage IV', 'metastatic']</t>
  </si>
  <si>
    <t>cancer_stage_at_diagnosis
Query
Query function: query Example query: What was the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In-situ or non-invasive melanoma are stage 0. &lt;=2mm melanoma are stage I. &gt;2mm melanoma are stage II or III. Options are: A. Stage 0, B. Stage I, C. Stage II or III, D. Stage IV, E. Unknown, F. Patient does not have cancer.
Keywords
['in situ', 'non-invasive', 'non invasive', 'stage 0', 'stage 1', 'stage 2', 'stage 3', 'stage 4', 'stage I', 'stage II', 'stage III', 'stage IV', 'metastatic']</t>
  </si>
  <si>
    <t>immunosuppressed_disease
Query
Query function: query Example query: Does this medical record indicate that the patient had an immunosuppressed disease, including leukemia, lymphoma, HIV, AIDS, or immune deficiency? Options are: A. Yes, B. No
Keywords
['is immunosuppressed', 'was immunosuppressed']</t>
  </si>
  <si>
    <t>immunosuppressed_disease
Query
Query function: query Example query: Does this medical record indicate that the patient had an immunosuppressed disease, including leukemia, lymphoma, HIV, AIDS, or immune deficiency? Options are: A. Yes, B. No
Keywords
['acquired immunodeficiency syndrome', 'primary immunodeficiency', 'immune deficiency']</t>
  </si>
  <si>
    <t>immunosuppressed_disease
Query
Query function: query Example query: Does this medical record indicate that the patient had an immunosuppressed disease, including leukemia, lymphoma, HIV, AIDS, or immune deficiency? Options are: A. Yes, B. No
Keywords
['human immunodeficiency virus', 'acquired immunodeficiency syndrome', 'primary immunodeficiency', 'immune deficiency', 'acute lymphoblastic leukemia', 'acute myeloid leukemia', 'chronic lymphocytic leukemia', 'chronic myeloid leukemia', 'non-Hodgkin lymphoma', 'Hodgkin lymphoma', 'small lymphocytic lymphoma', 'lymphoproliferative disorder']</t>
  </si>
  <si>
    <t>6, 7, 13, 19, 20, 22, 24, 26, 32, 40</t>
  </si>
  <si>
    <t>transplant_date
Query
Query function: query Example query: What was the date of the patient's most recent organ transplant? Do not include transplant types: {', '.join(EXCLUDED_TRANSPLANTS)}. If the patient received a transplant but no date is specified, return U. If the record gives no indication of transplant, return X {DATE_INTERPOLATION_STR}
Keywords
['status post liver transplant', 'status post kidney transplant', 'status post pancreas transplant', 'status post heart transplant', 'status post lung transplant', 'status post intestine transplant', 'status post cornea transplant', 'status post middle ear transplant', 'status post skin transplant', 'status post bone transplant', 'status post bone marrow transplant', 'status post heart valve transplant', 'status post connective tissue transplant', 'status post vascular composite allograft transplant', 's/p liver transplant', 's/p kidney transplant', 's/p pancreas transplant', 's/p heart transplant', 's/p lung transplant', 's/p intestine transplant', 's/p cornea transplant', 's/p middle ear transplant', 's/p skin transplant', 's/p bone transplant', 's/p bone marrow transplant', 's/p heart valve transplant', 's/p connective tissue transplant', 's/p vascular composite allograft transplant']</t>
  </si>
  <si>
    <t>Order of Data - MGB:</t>
  </si>
  <si>
    <t>Folders &amp; Subfolders</t>
  </si>
  <si>
    <t>acne validation</t>
  </si>
  <si>
    <t>val_ds</t>
  </si>
  <si>
    <t>old</t>
  </si>
  <si>
    <t>6_june_preds</t>
  </si>
  <si>
    <t>Order of Data - Mimic:</t>
  </si>
  <si>
    <t>10_june_preds</t>
  </si>
  <si>
    <t>Order of Data - Synthetic:</t>
  </si>
  <si>
    <t>15_july_preds</t>
  </si>
  <si>
    <t>8_aug_preds</t>
  </si>
  <si>
    <t>chunkwise</t>
  </si>
  <si>
    <t>dates</t>
  </si>
  <si>
    <t>extra val ds</t>
  </si>
  <si>
    <t>val ds</t>
  </si>
  <si>
    <t>val ds 1 September 2025</t>
  </si>
  <si>
    <t>val ds 2 september 2025</t>
  </si>
  <si>
    <t>val_ds aug 2025</t>
  </si>
  <si>
    <t>val ds cancer</t>
  </si>
  <si>
    <t>extra val ds v2</t>
  </si>
  <si>
    <t>Validation study - Folder for Dorsa and James to work on!</t>
  </si>
  <si>
    <t>mimic</t>
  </si>
  <si>
    <t>synthetic</t>
  </si>
  <si>
    <t>mgb_synth</t>
  </si>
  <si>
    <t>fixes</t>
  </si>
  <si>
    <t>cancer_date_free-mgb</t>
  </si>
  <si>
    <t>cancer_date_free-mimic</t>
  </si>
  <si>
    <t>cancer_date_free-mgb_synth</t>
  </si>
  <si>
    <t>immunosuppressed_disease-mgb</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</si>
</sst>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u/>
      <color rgb="FF0000FF"/>
    </font>
    <font>
      <u/>
      <color rgb="FF0000FF"/>
    </font>
    <font>
      <color theme="1"/>
      <name val="Arial"/>
    </font>
    <font>
      <b/>
      <color theme="1"/>
      <name val="Arial"/>
    </font>
  </fonts>
  <fills count="13">
    <fill>
      <patternFill patternType="none"/>
    </fill>
    <fill>
      <patternFill patternType="lightGray"/>
    </fill>
    <fill>
      <patternFill patternType="solid">
        <fgColor rgb="FFFFFFFF"/>
        <bgColor rgb="FFFFFFFF"/>
      </patternFill>
    </fill>
    <fill>
      <patternFill patternType="solid">
        <fgColor rgb="FF999999"/>
        <bgColor rgb="FF999999"/>
      </patternFill>
    </fill>
    <fill>
      <patternFill patternType="solid">
        <fgColor rgb="FFFF0000"/>
        <bgColor rgb="FFFF0000"/>
      </patternFill>
    </fill>
    <fill>
      <patternFill patternType="solid">
        <fgColor rgb="FFB6D7A8"/>
        <bgColor rgb="FFB6D7A8"/>
      </patternFill>
    </fill>
    <fill>
      <patternFill patternType="solid">
        <fgColor rgb="FFFCE5CD"/>
        <bgColor rgb="FFFCE5CD"/>
      </patternFill>
    </fill>
    <fill>
      <patternFill patternType="solid">
        <fgColor rgb="FFFFFF00"/>
        <bgColor rgb="FFFFFF00"/>
      </patternFill>
    </fill>
    <fill>
      <patternFill patternType="solid">
        <fgColor rgb="FFF3F3F3"/>
        <bgColor rgb="FFF3F3F3"/>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CCCCCC"/>
        <bgColor rgb="FFCCCCCC"/>
      </patternFill>
    </fill>
  </fills>
  <borders count="1">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1" numFmtId="0" xfId="0" applyAlignment="1" applyFont="1">
      <alignment readingOrder="0" shrinkToFit="0" wrapText="1"/>
    </xf>
    <xf borderId="0" fillId="0" fontId="2" numFmtId="0" xfId="0" applyAlignment="1" applyFont="1">
      <alignment readingOrder="0"/>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10" xfId="0" applyAlignment="1" applyFont="1" applyNumberFormat="1">
      <alignment readingOrder="0"/>
    </xf>
    <xf borderId="0" fillId="2" fontId="2" numFmtId="0" xfId="0" applyAlignment="1" applyFill="1" applyFont="1">
      <alignment readingOrder="0" shrinkToFit="0" wrapText="1"/>
    </xf>
    <xf borderId="0" fillId="0" fontId="2" numFmtId="10" xfId="0" applyAlignment="1" applyFont="1" applyNumberFormat="1">
      <alignment readingOrder="0" shrinkToFit="0" wrapText="1"/>
    </xf>
    <xf borderId="0" fillId="0" fontId="2" numFmtId="10" xfId="0" applyFont="1" applyNumberFormat="1"/>
    <xf borderId="0" fillId="3" fontId="2" numFmtId="0" xfId="0" applyFill="1" applyFont="1"/>
    <xf borderId="0" fillId="3" fontId="2" numFmtId="10" xfId="0" applyAlignment="1" applyFont="1" applyNumberFormat="1">
      <alignment readingOrder="0"/>
    </xf>
    <xf borderId="0" fillId="4" fontId="1" numFmtId="0" xfId="0" applyAlignment="1" applyFill="1" applyFont="1">
      <alignment readingOrder="0"/>
    </xf>
    <xf borderId="0" fillId="0" fontId="3" numFmtId="0" xfId="0" applyAlignment="1" applyFont="1">
      <alignment readingOrder="0"/>
    </xf>
    <xf borderId="0" fillId="5" fontId="1" numFmtId="0" xfId="0" applyAlignment="1" applyFill="1" applyFont="1">
      <alignment readingOrder="0"/>
    </xf>
    <xf borderId="0" fillId="0" fontId="4" numFmtId="0" xfId="0" applyAlignment="1" applyFont="1">
      <alignment readingOrder="0"/>
    </xf>
    <xf borderId="0" fillId="0" fontId="5" numFmtId="10" xfId="0" applyAlignment="1" applyFont="1" applyNumberFormat="1">
      <alignment horizontal="right" readingOrder="0" vertical="bottom"/>
    </xf>
    <xf borderId="0" fillId="0" fontId="5" numFmtId="0" xfId="0" applyAlignment="1" applyFont="1">
      <alignment readingOrder="0" shrinkToFit="0" vertical="bottom" wrapText="1"/>
    </xf>
    <xf borderId="0" fillId="0" fontId="6" numFmtId="0" xfId="0" applyAlignment="1" applyFont="1">
      <alignment readingOrder="0" vertical="bottom"/>
    </xf>
    <xf borderId="0" fillId="0" fontId="2" numFmtId="0" xfId="0" applyAlignment="1" applyFont="1">
      <alignment shrinkToFit="0" wrapText="0"/>
    </xf>
    <xf borderId="0" fillId="0" fontId="2" numFmtId="0" xfId="0" applyAlignment="1" applyFont="1">
      <alignment shrinkToFit="0" wrapText="1"/>
    </xf>
    <xf borderId="0" fillId="0" fontId="5" numFmtId="0" xfId="0" applyAlignment="1" applyFont="1">
      <alignment shrinkToFit="0" vertical="bottom" wrapText="1"/>
    </xf>
    <xf borderId="0" fillId="0" fontId="5" numFmtId="10" xfId="0" applyAlignment="1" applyFont="1" applyNumberFormat="1">
      <alignment horizontal="right" vertical="bottom"/>
    </xf>
    <xf borderId="0" fillId="0" fontId="1" numFmtId="0" xfId="0" applyAlignment="1" applyFont="1">
      <alignment horizontal="left" readingOrder="0"/>
    </xf>
    <xf borderId="0" fillId="0" fontId="2" numFmtId="0" xfId="0" applyAlignment="1" applyFont="1">
      <alignment horizontal="left" readingOrder="0"/>
    </xf>
    <xf borderId="0" fillId="6" fontId="2" numFmtId="0" xfId="0" applyAlignment="1" applyFill="1" applyFont="1">
      <alignment readingOrder="0" shrinkToFit="0" wrapText="0"/>
    </xf>
    <xf borderId="0" fillId="6" fontId="2" numFmtId="0" xfId="0" applyAlignment="1" applyFont="1">
      <alignment horizontal="left" readingOrder="0"/>
    </xf>
    <xf borderId="0" fillId="7" fontId="2" numFmtId="0" xfId="0" applyAlignment="1" applyFill="1" applyFont="1">
      <alignment readingOrder="0" shrinkToFit="0" wrapText="0"/>
    </xf>
    <xf borderId="0" fillId="7" fontId="2" numFmtId="0" xfId="0" applyAlignment="1" applyFont="1">
      <alignment horizontal="left" readingOrder="0"/>
    </xf>
    <xf borderId="0" fillId="2" fontId="2" numFmtId="0" xfId="0" applyAlignment="1" applyFont="1">
      <alignment readingOrder="0"/>
    </xf>
    <xf borderId="0" fillId="6" fontId="2" numFmtId="0" xfId="0" applyAlignment="1" applyFont="1">
      <alignment readingOrder="0"/>
    </xf>
    <xf borderId="0" fillId="7" fontId="2" numFmtId="0" xfId="0" applyAlignment="1" applyFont="1">
      <alignment readingOrder="0"/>
    </xf>
    <xf borderId="0" fillId="0" fontId="6" numFmtId="0" xfId="0" applyAlignment="1" applyFont="1">
      <alignment vertical="bottom"/>
    </xf>
    <xf borderId="0" fillId="0" fontId="6" numFmtId="0" xfId="0" applyAlignment="1" applyFont="1">
      <alignment vertical="bottom"/>
    </xf>
    <xf borderId="0" fillId="0" fontId="2" numFmtId="0" xfId="0" applyAlignment="1" applyFont="1">
      <alignment horizontal="left"/>
    </xf>
    <xf borderId="0" fillId="0" fontId="2" numFmtId="0" xfId="0" applyFont="1"/>
    <xf borderId="0" fillId="8" fontId="2" numFmtId="0" xfId="0" applyFill="1" applyFont="1"/>
    <xf borderId="0" fillId="8" fontId="2" numFmtId="0" xfId="0" applyAlignment="1" applyFont="1">
      <alignment readingOrder="0"/>
    </xf>
    <xf borderId="0" fillId="9" fontId="2" numFmtId="0" xfId="0" applyAlignment="1" applyFill="1" applyFont="1">
      <alignment readingOrder="0"/>
    </xf>
    <xf borderId="0" fillId="7" fontId="2" numFmtId="0" xfId="0" applyFont="1"/>
    <xf borderId="0" fillId="8" fontId="5" numFmtId="0" xfId="0" applyAlignment="1" applyFont="1">
      <alignment horizontal="right" vertical="bottom"/>
    </xf>
    <xf borderId="0" fillId="10" fontId="2" numFmtId="0" xfId="0" applyAlignment="1" applyFill="1" applyFont="1">
      <alignment readingOrder="0"/>
    </xf>
    <xf borderId="0" fillId="0" fontId="5" numFmtId="0" xfId="0" applyAlignment="1" applyFont="1">
      <alignment vertical="bottom"/>
    </xf>
    <xf borderId="0" fillId="11" fontId="2" numFmtId="0" xfId="0" applyAlignment="1" applyFill="1" applyFont="1">
      <alignment horizontal="left" readingOrder="0"/>
    </xf>
    <xf borderId="0" fillId="5" fontId="2" numFmtId="0" xfId="0" applyAlignment="1" applyFont="1">
      <alignment readingOrder="0"/>
    </xf>
    <xf borderId="0" fillId="0" fontId="5" numFmtId="0" xfId="0" applyAlignment="1" applyFont="1">
      <alignment readingOrder="0" vertical="bottom"/>
    </xf>
    <xf borderId="0" fillId="12" fontId="2" numFmtId="0" xfId="0" applyFill="1" applyFont="1"/>
    <xf borderId="0" fillId="12" fontId="2" numFmtId="0" xfId="0" applyAlignment="1" applyFont="1">
      <alignment readingOrder="0"/>
    </xf>
    <xf borderId="0" fillId="11" fontId="2" numFmtId="0" xfId="0" applyAlignment="1" applyFont="1">
      <alignment readingOrder="0"/>
    </xf>
  </cellXfs>
  <cellStyles count="1">
    <cellStyle xfId="0" name="Normal" builtinId="0"/>
  </cellStyles>
  <dxfs count="4">
    <dxf>
      <font/>
      <fill>
        <patternFill patternType="solid">
          <fgColor rgb="FFB7E1CD"/>
          <bgColor rgb="FFB7E1CD"/>
        </patternFill>
      </fill>
      <border/>
    </dxf>
    <dxf>
      <font/>
      <fill>
        <patternFill patternType="solid">
          <fgColor rgb="FFFFF2CC"/>
          <bgColor rgb="FFFFF2CC"/>
        </patternFill>
      </fill>
      <border/>
    </dxf>
    <dxf>
      <font/>
      <fill>
        <patternFill patternType="solid">
          <fgColor rgb="FF93C47D"/>
          <bgColor rgb="FF93C47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artnershealthcare-my.sharepoint.com/:x:/r/personal/mtoles_bwh_harvard_edu/Documents/acne%20validation/val_ds/Validation%20study%20-%20Folder%20for%20Dorsa%20and%20James%20to%20work%20on!/cancer_date_of_diagnosis/cancer_date_of_diagnosis_chunks.xlsx?d=w41d8c069c80a4685ab051d314d472128&amp;csf=1&amp;web=1&amp;e=qqSMG4" TargetMode="External"/><Relationship Id="rId3" Type="http://schemas.openxmlformats.org/officeDocument/2006/relationships/hyperlink" Target="https://partnershealthcare-my.sharepoint.com/:x:/r/personal/mtoles_bwh_harvard_edu/Documents/acne%20validation/val_ds/Validation%20study%20-%20Folder%20for%20Dorsa%20and%20James%20to%20work%20on!/cancer_family_any/cancer_family_any_chunks.xlsx?d=w84785a57d98943eabeca7b3a199414b5&amp;csf=1&amp;web=1&amp;e=oHB17v" TargetMode="External"/><Relationship Id="rId4" Type="http://schemas.openxmlformats.org/officeDocument/2006/relationships/hyperlink" Target="https://partnershealthcare-my.sharepoint.com/:x:/r/personal/mtoles_bwh_harvard_edu/Documents/acne%20validation/val_ds/Validation%20study%20-%20Folder%20for%20Dorsa%20and%20James%20to%20work%20on!/cancer_maximum_stage/cancer_maximum_stage_chunks.xlsx?d=w80bb86a913df44dfac7a8fd752ac213c&amp;csf=1&amp;web=1&amp;e=WeAbDr" TargetMode="External"/><Relationship Id="rId10" Type="http://schemas.openxmlformats.org/officeDocument/2006/relationships/vmlDrawing" Target="../drawings/vmlDrawing1.vml"/><Relationship Id="rId9" Type="http://schemas.openxmlformats.org/officeDocument/2006/relationships/drawing" Target="../drawings/drawing1.xml"/><Relationship Id="rId5" Type="http://schemas.openxmlformats.org/officeDocument/2006/relationships/hyperlink" Target="https://partnershealthcare-my.sharepoint.com/:x:/r/personal/mtoles_bwh_harvard_edu/Documents/acne%20validation/val_ds/Validation%20study%20-%20Folder%20for%20Dorsa%20and%20James%20to%20work%20on!/cancer_stage_at_diagnosis/cancer_stage_at_diagnosis_chunks.xlsx?d=wbd2ea635932d41308a2cde06ea27def7&amp;csf=1&amp;web=1&amp;e=2odgQz" TargetMode="External"/><Relationship Id="rId6" Type="http://schemas.openxmlformats.org/officeDocument/2006/relationships/hyperlink" Target="https://partnershealthcare-my.sharepoint.com/:x:/r/personal/mtoles_bwh_harvard_edu/Documents/acne%20validation/val_ds/Validation%20study%20-%20Folder%20for%20Dorsa%20and%20James%20to%20work%20on!/smoking_amount/smoking_amount_chunks.xlsx?d=wffc38a2e06304f27b1948b7bee7de527&amp;csf=1&amp;web=1&amp;e=EAPc5L" TargetMode="External"/><Relationship Id="rId7" Type="http://schemas.openxmlformats.org/officeDocument/2006/relationships/hyperlink" Target="https://partnershealthcare-my.sharepoint.com/:x:/r/personal/mtoles_bwh_harvard_edu/Documents/acne%20validation/val_ds/Validation%20study%20-%20Folder%20for%20Dorsa%20and%20James%20to%20work%20on!/smoking_status/smoking_status_chunks.xlsx?d=w3c75e9b37b2248e8841ffdf54dac1176&amp;csf=1&amp;web=1&amp;e=iOyIOW" TargetMode="External"/><Relationship Id="rId8" Type="http://schemas.openxmlformats.org/officeDocument/2006/relationships/hyperlink" Target="https://partnershealthcare-my.sharepoint.com/:x:/r/personal/mtoles_bwh_harvard_edu/Documents/acne%20validation/val_ds/Validation%20study%20-%20Folder%20for%20Dorsa%20and%20James%20to%20work%20on!/transplant_date/transplant_date_chunks.xlsx?d=w746dcc85fa18408ea334de110f9ec331&amp;csf=1&amp;web=1&amp;e=qzybB8"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6.75"/>
    <col customWidth="1" min="2" max="2" width="8.63"/>
    <col customWidth="1" min="3" max="3" width="23.25"/>
    <col customWidth="1" min="4" max="4" width="19.13"/>
    <col customWidth="1" min="5" max="5" width="20.5"/>
    <col customWidth="1" min="6" max="6" width="23.38"/>
    <col customWidth="1" min="7" max="7" width="12.0"/>
    <col customWidth="1" min="24" max="24" width="34.38"/>
    <col customWidth="1" min="25" max="25" width="9.25"/>
    <col customWidth="1" min="26" max="26" width="15.13"/>
    <col customWidth="1" min="27" max="27" width="4.25"/>
    <col customWidth="1" min="28" max="28" width="18.38"/>
  </cols>
  <sheetData>
    <row r="1" ht="15.75" customHeight="1">
      <c r="A1" s="1" t="s">
        <v>0</v>
      </c>
      <c r="B1" s="1" t="s">
        <v>1</v>
      </c>
      <c r="C1" s="1" t="s">
        <v>2</v>
      </c>
      <c r="D1" s="2" t="s">
        <v>3</v>
      </c>
      <c r="E1" s="2" t="s">
        <v>4</v>
      </c>
      <c r="F1" s="3" t="s">
        <v>5</v>
      </c>
      <c r="G1" s="1" t="s">
        <v>6</v>
      </c>
      <c r="H1" s="1" t="s">
        <v>7</v>
      </c>
      <c r="I1" s="1" t="s">
        <v>8</v>
      </c>
      <c r="J1" s="3"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B1" s="1" t="s">
        <v>26</v>
      </c>
    </row>
    <row r="2" ht="15.75" customHeight="1">
      <c r="A2" s="1" t="s">
        <v>27</v>
      </c>
      <c r="B2" s="4" t="s">
        <v>28</v>
      </c>
      <c r="C2" s="4" t="s">
        <v>29</v>
      </c>
      <c r="D2" s="5" t="s">
        <v>30</v>
      </c>
      <c r="E2" s="5" t="s">
        <v>31</v>
      </c>
      <c r="F2" s="6" t="s">
        <v>32</v>
      </c>
      <c r="G2" s="7">
        <v>0.83</v>
      </c>
      <c r="H2" s="6" t="s">
        <v>33</v>
      </c>
      <c r="I2" s="7">
        <v>0.88</v>
      </c>
      <c r="J2" s="6" t="s">
        <v>34</v>
      </c>
      <c r="K2" s="7">
        <v>0.9</v>
      </c>
      <c r="L2" s="6" t="s">
        <v>35</v>
      </c>
      <c r="M2" s="7">
        <v>0.9</v>
      </c>
      <c r="N2" s="6" t="s">
        <v>36</v>
      </c>
      <c r="O2" s="7">
        <v>0.92</v>
      </c>
      <c r="P2" s="8" t="s">
        <v>37</v>
      </c>
      <c r="Q2" s="7">
        <v>0.94</v>
      </c>
      <c r="R2" s="4" t="s">
        <v>38</v>
      </c>
      <c r="S2" s="7">
        <v>0.98</v>
      </c>
      <c r="V2" s="9">
        <f t="shared" ref="V2:V31" si="1">MAX(U2,S2,Q2,O2,M2,K2,I2,G2)</f>
        <v>0.98</v>
      </c>
      <c r="W2" s="7">
        <f>MAX(V2:V3)</f>
        <v>0.98</v>
      </c>
      <c r="Z2" s="10">
        <f t="shared" ref="Z2:Z3" si="2">AVERAGE(V2,V4,V6,V8,V10,V14,V16,V18,V20,V22,V24,V26,V28,V30)</f>
        <v>0.9606928571</v>
      </c>
      <c r="AA2" s="3" t="s">
        <v>28</v>
      </c>
      <c r="AB2" s="7">
        <v>0.7857</v>
      </c>
    </row>
    <row r="3" ht="15.75" customHeight="1">
      <c r="A3" s="1" t="s">
        <v>27</v>
      </c>
      <c r="B3" s="4" t="s">
        <v>39</v>
      </c>
      <c r="C3" s="4" t="s">
        <v>29</v>
      </c>
      <c r="D3" s="5" t="s">
        <v>30</v>
      </c>
      <c r="E3" s="5" t="s">
        <v>31</v>
      </c>
      <c r="F3" s="6" t="s">
        <v>32</v>
      </c>
      <c r="G3" s="7">
        <v>0.79</v>
      </c>
      <c r="H3" s="6" t="s">
        <v>33</v>
      </c>
      <c r="I3" s="7">
        <v>0.9</v>
      </c>
      <c r="J3" s="4" t="s">
        <v>40</v>
      </c>
      <c r="K3" s="7">
        <v>0.88</v>
      </c>
      <c r="L3" s="4" t="s">
        <v>41</v>
      </c>
      <c r="M3" s="7">
        <v>0.9</v>
      </c>
      <c r="N3" s="4" t="s">
        <v>42</v>
      </c>
      <c r="O3" s="7">
        <v>0.96</v>
      </c>
      <c r="P3" s="4" t="s">
        <v>43</v>
      </c>
      <c r="Q3" s="7">
        <v>0.97</v>
      </c>
      <c r="V3" s="9">
        <f t="shared" si="1"/>
        <v>0.97</v>
      </c>
      <c r="W3" s="10">
        <f>MAX(V2:V3)</f>
        <v>0.98</v>
      </c>
      <c r="Z3" s="10">
        <f t="shared" si="2"/>
        <v>0.9551428571</v>
      </c>
      <c r="AA3" s="1" t="s">
        <v>39</v>
      </c>
    </row>
    <row r="4" ht="15.75" customHeight="1">
      <c r="A4" s="1" t="s">
        <v>44</v>
      </c>
      <c r="B4" s="4" t="s">
        <v>28</v>
      </c>
      <c r="C4" s="4" t="s">
        <v>29</v>
      </c>
      <c r="D4" s="5" t="s">
        <v>30</v>
      </c>
      <c r="E4" s="5" t="s">
        <v>45</v>
      </c>
      <c r="F4" s="6" t="s">
        <v>46</v>
      </c>
      <c r="G4" s="7">
        <v>0.85</v>
      </c>
      <c r="H4" s="6" t="s">
        <v>47</v>
      </c>
      <c r="I4" s="7">
        <v>0.91</v>
      </c>
      <c r="J4" s="6" t="s">
        <v>48</v>
      </c>
      <c r="K4" s="7">
        <v>0.94</v>
      </c>
      <c r="L4" s="6" t="s">
        <v>49</v>
      </c>
      <c r="M4" s="7">
        <v>0.94</v>
      </c>
      <c r="N4" s="6" t="s">
        <v>50</v>
      </c>
      <c r="O4" s="7">
        <v>0.95</v>
      </c>
      <c r="P4" s="4" t="s">
        <v>51</v>
      </c>
      <c r="Q4" s="7">
        <v>0.9612</v>
      </c>
      <c r="V4" s="9">
        <f t="shared" si="1"/>
        <v>0.9612</v>
      </c>
      <c r="W4" s="10">
        <f>MAX(V4:V5)</f>
        <v>0.9612</v>
      </c>
    </row>
    <row r="5" ht="15.75" customHeight="1">
      <c r="A5" s="1" t="s">
        <v>44</v>
      </c>
      <c r="B5" s="4" t="s">
        <v>39</v>
      </c>
      <c r="C5" s="4" t="s">
        <v>29</v>
      </c>
      <c r="D5" s="5" t="s">
        <v>30</v>
      </c>
      <c r="E5" s="5" t="s">
        <v>45</v>
      </c>
      <c r="F5" s="6" t="s">
        <v>46</v>
      </c>
      <c r="G5" s="7">
        <v>0.81</v>
      </c>
      <c r="H5" s="4" t="s">
        <v>52</v>
      </c>
      <c r="I5" s="7">
        <v>0.87</v>
      </c>
      <c r="J5" s="4" t="s">
        <v>53</v>
      </c>
      <c r="K5" s="7">
        <v>0.9612</v>
      </c>
      <c r="V5" s="9">
        <f t="shared" si="1"/>
        <v>0.9612</v>
      </c>
      <c r="W5" s="10">
        <f>MAX(V4:V5)</f>
        <v>0.9612</v>
      </c>
    </row>
    <row r="6" ht="15.75" customHeight="1">
      <c r="A6" s="1" t="s">
        <v>54</v>
      </c>
      <c r="B6" s="4" t="s">
        <v>28</v>
      </c>
      <c r="C6" s="4" t="s">
        <v>29</v>
      </c>
      <c r="D6" s="5" t="s">
        <v>55</v>
      </c>
      <c r="E6" s="5" t="s">
        <v>56</v>
      </c>
      <c r="F6" s="6" t="s">
        <v>57</v>
      </c>
      <c r="G6" s="7">
        <v>0.51</v>
      </c>
      <c r="H6" s="6" t="s">
        <v>58</v>
      </c>
      <c r="I6" s="7">
        <v>0.69</v>
      </c>
      <c r="J6" s="6" t="s">
        <v>59</v>
      </c>
      <c r="K6" s="7">
        <v>0.83</v>
      </c>
      <c r="L6" s="6" t="s">
        <v>60</v>
      </c>
      <c r="M6" s="7">
        <v>0.84</v>
      </c>
      <c r="N6" s="6" t="s">
        <v>61</v>
      </c>
      <c r="O6" s="7">
        <v>0.86</v>
      </c>
      <c r="P6" s="6" t="s">
        <v>62</v>
      </c>
      <c r="Q6" s="7">
        <v>0.87</v>
      </c>
      <c r="R6" s="6" t="s">
        <v>63</v>
      </c>
      <c r="S6" s="7">
        <v>0.9</v>
      </c>
      <c r="T6" s="6" t="s">
        <v>64</v>
      </c>
      <c r="U6" s="7">
        <v>0.91</v>
      </c>
      <c r="V6" s="9">
        <f t="shared" si="1"/>
        <v>0.91</v>
      </c>
      <c r="W6" s="10">
        <f>MAX(V6:V7)</f>
        <v>0.91</v>
      </c>
    </row>
    <row r="7" ht="15.75" customHeight="1">
      <c r="A7" s="1" t="s">
        <v>54</v>
      </c>
      <c r="B7" s="4" t="s">
        <v>39</v>
      </c>
      <c r="C7" s="4" t="s">
        <v>29</v>
      </c>
      <c r="D7" s="5" t="s">
        <v>55</v>
      </c>
      <c r="E7" s="5" t="s">
        <v>56</v>
      </c>
      <c r="F7" s="6" t="s">
        <v>57</v>
      </c>
      <c r="G7" s="7">
        <v>0.51</v>
      </c>
      <c r="H7" s="4" t="s">
        <v>65</v>
      </c>
      <c r="I7" s="7">
        <v>0.78</v>
      </c>
      <c r="J7" s="4" t="s">
        <v>66</v>
      </c>
      <c r="K7" s="7">
        <v>0.8</v>
      </c>
      <c r="L7" s="4" t="s">
        <v>67</v>
      </c>
      <c r="M7" s="7">
        <v>0.87</v>
      </c>
      <c r="N7" s="4" t="s">
        <v>68</v>
      </c>
      <c r="O7" s="7">
        <v>0.91</v>
      </c>
      <c r="V7" s="9">
        <f t="shared" si="1"/>
        <v>0.91</v>
      </c>
      <c r="W7" s="10">
        <f>MAX(V6:V7)</f>
        <v>0.91</v>
      </c>
    </row>
    <row r="8" ht="15.75" customHeight="1">
      <c r="A8" s="1" t="s">
        <v>69</v>
      </c>
      <c r="B8" s="4" t="s">
        <v>28</v>
      </c>
      <c r="C8" s="4" t="s">
        <v>29</v>
      </c>
      <c r="D8" s="5" t="s">
        <v>55</v>
      </c>
      <c r="E8" s="5" t="s">
        <v>70</v>
      </c>
      <c r="F8" s="6" t="s">
        <v>71</v>
      </c>
      <c r="G8" s="7">
        <v>0.84</v>
      </c>
      <c r="H8" s="6" t="s">
        <v>72</v>
      </c>
      <c r="I8" s="7">
        <v>0.89</v>
      </c>
      <c r="J8" s="4" t="s">
        <v>73</v>
      </c>
      <c r="K8" s="7">
        <v>0.97</v>
      </c>
      <c r="L8" s="6" t="s">
        <v>74</v>
      </c>
      <c r="M8" s="7">
        <v>0.97</v>
      </c>
      <c r="N8" s="6" t="s">
        <v>75</v>
      </c>
      <c r="O8" s="7">
        <v>0.98</v>
      </c>
      <c r="V8" s="9">
        <f t="shared" si="1"/>
        <v>0.98</v>
      </c>
      <c r="W8" s="10">
        <f>MAX(V8:V9)</f>
        <v>0.98</v>
      </c>
    </row>
    <row r="9" ht="15.75" customHeight="1">
      <c r="A9" s="1" t="s">
        <v>69</v>
      </c>
      <c r="B9" s="4" t="s">
        <v>39</v>
      </c>
      <c r="C9" s="4" t="s">
        <v>29</v>
      </c>
      <c r="D9" s="5" t="s">
        <v>55</v>
      </c>
      <c r="E9" s="5" t="s">
        <v>70</v>
      </c>
      <c r="F9" s="6" t="s">
        <v>71</v>
      </c>
      <c r="G9" s="7">
        <v>0.84</v>
      </c>
      <c r="H9" s="4" t="s">
        <v>76</v>
      </c>
      <c r="I9" s="7">
        <v>0.8911</v>
      </c>
      <c r="J9" s="4" t="s">
        <v>77</v>
      </c>
      <c r="K9" s="7">
        <v>0.97</v>
      </c>
      <c r="V9" s="9">
        <f t="shared" si="1"/>
        <v>0.97</v>
      </c>
      <c r="W9" s="10">
        <f>MAX(V8:V9)</f>
        <v>0.98</v>
      </c>
    </row>
    <row r="10" ht="15.75" customHeight="1">
      <c r="A10" s="1" t="s">
        <v>78</v>
      </c>
      <c r="B10" s="4" t="s">
        <v>28</v>
      </c>
      <c r="C10" s="4" t="s">
        <v>29</v>
      </c>
      <c r="D10" s="5" t="s">
        <v>79</v>
      </c>
      <c r="E10" s="5" t="s">
        <v>70</v>
      </c>
      <c r="F10" s="6" t="s">
        <v>80</v>
      </c>
      <c r="G10" s="7">
        <v>0.96</v>
      </c>
      <c r="H10" s="6" t="s">
        <v>81</v>
      </c>
      <c r="I10" s="7">
        <v>0.99</v>
      </c>
      <c r="J10" s="6" t="s">
        <v>82</v>
      </c>
      <c r="K10" s="7">
        <v>1.0</v>
      </c>
      <c r="V10" s="9">
        <f t="shared" si="1"/>
        <v>1</v>
      </c>
      <c r="W10" s="10">
        <f>MAX(V10:V11)</f>
        <v>1</v>
      </c>
    </row>
    <row r="11" ht="15.75" customHeight="1">
      <c r="A11" s="1" t="s">
        <v>78</v>
      </c>
      <c r="B11" s="4" t="s">
        <v>39</v>
      </c>
      <c r="C11" s="4" t="s">
        <v>29</v>
      </c>
      <c r="D11" s="5" t="s">
        <v>79</v>
      </c>
      <c r="E11" s="5" t="s">
        <v>70</v>
      </c>
      <c r="F11" s="6" t="s">
        <v>80</v>
      </c>
      <c r="G11" s="7">
        <v>0.96</v>
      </c>
      <c r="H11" s="4" t="s">
        <v>83</v>
      </c>
      <c r="I11" s="4" t="s">
        <v>84</v>
      </c>
      <c r="V11" s="9">
        <f t="shared" si="1"/>
        <v>0.96</v>
      </c>
      <c r="W11" s="10">
        <f>MAX(V10:V11)</f>
        <v>1</v>
      </c>
    </row>
    <row r="12" ht="15.75" customHeight="1">
      <c r="A12" s="1" t="s">
        <v>85</v>
      </c>
      <c r="B12" s="4" t="s">
        <v>28</v>
      </c>
      <c r="C12" s="4" t="s">
        <v>86</v>
      </c>
      <c r="D12" s="5" t="s">
        <v>87</v>
      </c>
      <c r="E12" s="5" t="s">
        <v>88</v>
      </c>
      <c r="F12" s="6" t="s">
        <v>89</v>
      </c>
      <c r="G12" s="11"/>
      <c r="H12" s="11"/>
      <c r="I12" s="11"/>
      <c r="J12" s="11"/>
      <c r="K12" s="11"/>
      <c r="L12" s="11"/>
      <c r="M12" s="11"/>
      <c r="N12" s="11"/>
      <c r="O12" s="11"/>
      <c r="P12" s="11"/>
      <c r="Q12" s="11"/>
      <c r="R12" s="11"/>
      <c r="S12" s="11"/>
      <c r="T12" s="11"/>
      <c r="U12" s="11"/>
      <c r="V12" s="9">
        <f t="shared" si="1"/>
        <v>0</v>
      </c>
    </row>
    <row r="13" ht="15.75" customHeight="1">
      <c r="A13" s="1" t="s">
        <v>85</v>
      </c>
      <c r="B13" s="4" t="s">
        <v>39</v>
      </c>
      <c r="C13" s="4" t="s">
        <v>86</v>
      </c>
      <c r="D13" s="5" t="s">
        <v>87</v>
      </c>
      <c r="E13" s="5" t="s">
        <v>88</v>
      </c>
      <c r="F13" s="6" t="s">
        <v>89</v>
      </c>
      <c r="G13" s="12"/>
      <c r="H13" s="11"/>
      <c r="I13" s="11"/>
      <c r="J13" s="11"/>
      <c r="K13" s="11"/>
      <c r="L13" s="11"/>
      <c r="M13" s="11"/>
      <c r="N13" s="11"/>
      <c r="O13" s="11"/>
      <c r="P13" s="11"/>
      <c r="Q13" s="11"/>
      <c r="R13" s="11"/>
      <c r="S13" s="11"/>
      <c r="T13" s="11"/>
      <c r="U13" s="11"/>
      <c r="V13" s="9">
        <f t="shared" si="1"/>
        <v>0</v>
      </c>
    </row>
    <row r="14" ht="15.75" customHeight="1">
      <c r="A14" s="1" t="s">
        <v>90</v>
      </c>
      <c r="B14" s="4" t="s">
        <v>28</v>
      </c>
      <c r="C14" s="4" t="s">
        <v>91</v>
      </c>
      <c r="D14" s="5" t="s">
        <v>87</v>
      </c>
      <c r="E14" s="5" t="s">
        <v>92</v>
      </c>
      <c r="F14" s="6" t="s">
        <v>93</v>
      </c>
      <c r="G14" s="7">
        <v>0.911</v>
      </c>
      <c r="H14" s="6" t="s">
        <v>94</v>
      </c>
      <c r="I14" s="7">
        <v>0.9178</v>
      </c>
      <c r="J14" s="4" t="s">
        <v>95</v>
      </c>
      <c r="K14" s="7">
        <v>0.9178</v>
      </c>
      <c r="L14" s="4" t="s">
        <v>96</v>
      </c>
      <c r="M14" s="7">
        <v>0.9384</v>
      </c>
      <c r="V14" s="9">
        <f t="shared" si="1"/>
        <v>0.9384</v>
      </c>
      <c r="W14" s="10">
        <f>MAX(V14:V15)</f>
        <v>0.9384</v>
      </c>
    </row>
    <row r="15" ht="15.75" customHeight="1">
      <c r="A15" s="1" t="s">
        <v>90</v>
      </c>
      <c r="B15" s="4" t="s">
        <v>39</v>
      </c>
      <c r="C15" s="4" t="s">
        <v>91</v>
      </c>
      <c r="D15" s="5" t="s">
        <v>87</v>
      </c>
      <c r="E15" s="5" t="s">
        <v>92</v>
      </c>
      <c r="F15" s="6" t="s">
        <v>93</v>
      </c>
      <c r="G15" s="7">
        <v>0.911</v>
      </c>
      <c r="H15" s="4" t="s">
        <v>97</v>
      </c>
      <c r="I15" s="7">
        <v>0.911</v>
      </c>
      <c r="V15" s="9">
        <f t="shared" si="1"/>
        <v>0.911</v>
      </c>
      <c r="W15" s="10">
        <f>MAX(V14:V15)</f>
        <v>0.9384</v>
      </c>
      <c r="X15" s="13" t="s">
        <v>98</v>
      </c>
      <c r="Y15" s="14" t="s">
        <v>99</v>
      </c>
    </row>
    <row r="16" ht="15.75" customHeight="1">
      <c r="A16" s="1" t="s">
        <v>100</v>
      </c>
      <c r="B16" s="4" t="s">
        <v>28</v>
      </c>
      <c r="C16" s="4" t="s">
        <v>29</v>
      </c>
      <c r="D16" s="5" t="s">
        <v>79</v>
      </c>
      <c r="E16" s="5" t="s">
        <v>70</v>
      </c>
      <c r="F16" s="6" t="s">
        <v>101</v>
      </c>
      <c r="G16" s="7">
        <v>0.96</v>
      </c>
      <c r="V16" s="9">
        <f t="shared" si="1"/>
        <v>0.96</v>
      </c>
      <c r="W16" s="10">
        <f>MAX(V16:V17)</f>
        <v>0.96</v>
      </c>
    </row>
    <row r="17" ht="29.25" customHeight="1">
      <c r="A17" s="1" t="s">
        <v>100</v>
      </c>
      <c r="B17" s="4" t="s">
        <v>39</v>
      </c>
      <c r="C17" s="4" t="s">
        <v>29</v>
      </c>
      <c r="D17" s="5" t="s">
        <v>79</v>
      </c>
      <c r="E17" s="5" t="s">
        <v>70</v>
      </c>
      <c r="F17" s="6" t="s">
        <v>101</v>
      </c>
      <c r="G17" s="7">
        <v>0.96</v>
      </c>
      <c r="L17" s="6"/>
      <c r="V17" s="9">
        <f t="shared" si="1"/>
        <v>0.96</v>
      </c>
      <c r="W17" s="10">
        <f>MAX(V16:V17)</f>
        <v>0.96</v>
      </c>
      <c r="X17" s="15" t="s">
        <v>102</v>
      </c>
      <c r="Y17" s="16" t="s">
        <v>103</v>
      </c>
    </row>
    <row r="18" ht="15.75" customHeight="1">
      <c r="A18" s="1" t="s">
        <v>104</v>
      </c>
      <c r="B18" s="4" t="s">
        <v>28</v>
      </c>
      <c r="C18" s="4" t="s">
        <v>91</v>
      </c>
      <c r="D18" s="5" t="s">
        <v>87</v>
      </c>
      <c r="E18" s="5" t="s">
        <v>105</v>
      </c>
      <c r="F18" s="6" t="s">
        <v>106</v>
      </c>
      <c r="G18" s="7">
        <v>0.88</v>
      </c>
      <c r="H18" s="6" t="s">
        <v>107</v>
      </c>
      <c r="I18" s="7">
        <v>0.9184</v>
      </c>
      <c r="J18" s="6" t="s">
        <v>108</v>
      </c>
      <c r="K18" s="17">
        <v>0.9252</v>
      </c>
      <c r="L18" s="18" t="s">
        <v>109</v>
      </c>
      <c r="M18" s="17">
        <v>0.9388</v>
      </c>
      <c r="N18" s="6"/>
      <c r="O18" s="7"/>
      <c r="P18" s="3"/>
      <c r="V18" s="9">
        <f t="shared" si="1"/>
        <v>0.9388</v>
      </c>
      <c r="W18" s="10">
        <f>MAX(V18:V19)</f>
        <v>0.9388</v>
      </c>
    </row>
    <row r="19" ht="30.75" customHeight="1">
      <c r="A19" s="1" t="s">
        <v>104</v>
      </c>
      <c r="B19" s="4" t="s">
        <v>39</v>
      </c>
      <c r="C19" s="4" t="s">
        <v>91</v>
      </c>
      <c r="D19" s="5" t="s">
        <v>87</v>
      </c>
      <c r="E19" s="5" t="s">
        <v>105</v>
      </c>
      <c r="F19" s="6" t="s">
        <v>106</v>
      </c>
      <c r="G19" s="7">
        <v>0.88</v>
      </c>
      <c r="H19" s="4" t="s">
        <v>110</v>
      </c>
      <c r="I19" s="7">
        <v>0.9048</v>
      </c>
      <c r="J19" s="4" t="s">
        <v>111</v>
      </c>
      <c r="K19" s="7">
        <v>0.9388</v>
      </c>
      <c r="L19" s="6"/>
      <c r="M19" s="7"/>
      <c r="V19" s="9">
        <f t="shared" si="1"/>
        <v>0.9388</v>
      </c>
      <c r="W19" s="10">
        <f>MAX(V18:V19)</f>
        <v>0.9388</v>
      </c>
      <c r="X19" s="15" t="s">
        <v>112</v>
      </c>
      <c r="Y19" s="16" t="s">
        <v>113</v>
      </c>
    </row>
    <row r="20" ht="15.75" customHeight="1">
      <c r="A20" s="1" t="s">
        <v>114</v>
      </c>
      <c r="B20" s="4" t="s">
        <v>28</v>
      </c>
      <c r="C20" s="4" t="s">
        <v>91</v>
      </c>
      <c r="D20" s="5" t="s">
        <v>87</v>
      </c>
      <c r="E20" s="5" t="s">
        <v>115</v>
      </c>
      <c r="F20" s="6" t="s">
        <v>116</v>
      </c>
      <c r="G20" s="7">
        <v>0.87</v>
      </c>
      <c r="H20" s="6" t="s">
        <v>117</v>
      </c>
      <c r="I20" s="7">
        <v>0.9122</v>
      </c>
      <c r="J20" s="6" t="s">
        <v>118</v>
      </c>
      <c r="K20" s="7">
        <v>0.9122</v>
      </c>
      <c r="L20" s="6" t="s">
        <v>119</v>
      </c>
      <c r="M20" s="7">
        <v>0.9189</v>
      </c>
      <c r="N20" s="4" t="s">
        <v>120</v>
      </c>
      <c r="O20" s="7">
        <v>0.9257</v>
      </c>
      <c r="P20" s="6" t="s">
        <v>121</v>
      </c>
      <c r="Q20" s="7">
        <v>0.9459</v>
      </c>
      <c r="R20" s="4" t="s">
        <v>122</v>
      </c>
      <c r="S20" s="7">
        <v>0.9595</v>
      </c>
      <c r="V20" s="9">
        <f t="shared" si="1"/>
        <v>0.9595</v>
      </c>
      <c r="W20" s="10">
        <f>MAX(V20:V21)</f>
        <v>0.9595</v>
      </c>
    </row>
    <row r="21" ht="78.75" customHeight="1">
      <c r="A21" s="1" t="s">
        <v>114</v>
      </c>
      <c r="B21" s="4" t="s">
        <v>39</v>
      </c>
      <c r="C21" s="4" t="s">
        <v>91</v>
      </c>
      <c r="D21" s="5" t="s">
        <v>87</v>
      </c>
      <c r="E21" s="5" t="s">
        <v>115</v>
      </c>
      <c r="F21" s="6" t="s">
        <v>116</v>
      </c>
      <c r="G21" s="7">
        <v>0.87</v>
      </c>
      <c r="H21" s="4" t="s">
        <v>123</v>
      </c>
      <c r="I21" s="7">
        <v>0.8919</v>
      </c>
      <c r="J21" s="4" t="s">
        <v>124</v>
      </c>
      <c r="K21" s="7">
        <v>0.9257</v>
      </c>
      <c r="L21" s="4" t="s">
        <v>125</v>
      </c>
      <c r="M21" s="7">
        <v>0.9392</v>
      </c>
      <c r="N21" s="4" t="s">
        <v>126</v>
      </c>
      <c r="O21" s="4" t="s">
        <v>84</v>
      </c>
      <c r="V21" s="9">
        <f t="shared" si="1"/>
        <v>0.9392</v>
      </c>
      <c r="W21" s="10">
        <f>MAX(V20:V21)</f>
        <v>0.9595</v>
      </c>
      <c r="X21" s="15" t="s">
        <v>127</v>
      </c>
      <c r="Y21" s="16" t="s">
        <v>128</v>
      </c>
    </row>
    <row r="22" ht="15.75" customHeight="1">
      <c r="A22" s="1" t="s">
        <v>129</v>
      </c>
      <c r="B22" s="4" t="s">
        <v>28</v>
      </c>
      <c r="C22" s="4" t="s">
        <v>91</v>
      </c>
      <c r="D22" s="5" t="s">
        <v>130</v>
      </c>
      <c r="E22" s="5" t="s">
        <v>70</v>
      </c>
      <c r="F22" s="6" t="s">
        <v>131</v>
      </c>
      <c r="G22" s="7">
        <v>0.97</v>
      </c>
      <c r="V22" s="9">
        <f t="shared" si="1"/>
        <v>0.97</v>
      </c>
      <c r="W22" s="10">
        <f>MAX(V22:V23)</f>
        <v>1</v>
      </c>
    </row>
    <row r="23" ht="15.75" customHeight="1">
      <c r="A23" s="1" t="s">
        <v>129</v>
      </c>
      <c r="B23" s="4" t="s">
        <v>39</v>
      </c>
      <c r="C23" s="4" t="s">
        <v>91</v>
      </c>
      <c r="D23" s="5" t="s">
        <v>130</v>
      </c>
      <c r="E23" s="5" t="s">
        <v>70</v>
      </c>
      <c r="F23" s="6" t="s">
        <v>131</v>
      </c>
      <c r="G23" s="7">
        <v>0.97</v>
      </c>
      <c r="H23" s="4" t="s">
        <v>132</v>
      </c>
      <c r="I23" s="7">
        <v>1.0</v>
      </c>
      <c r="V23" s="9">
        <f t="shared" si="1"/>
        <v>1</v>
      </c>
      <c r="W23" s="10">
        <f>MAX(V22:V23)</f>
        <v>1</v>
      </c>
      <c r="X23" s="1" t="s">
        <v>133</v>
      </c>
    </row>
    <row r="24" ht="15.75" customHeight="1">
      <c r="A24" s="1" t="s">
        <v>134</v>
      </c>
      <c r="B24" s="4" t="s">
        <v>28</v>
      </c>
      <c r="C24" s="4" t="s">
        <v>29</v>
      </c>
      <c r="D24" s="5" t="s">
        <v>135</v>
      </c>
      <c r="E24" s="5" t="s">
        <v>136</v>
      </c>
      <c r="F24" s="6" t="s">
        <v>137</v>
      </c>
      <c r="G24" s="7">
        <v>0.92</v>
      </c>
      <c r="H24" s="6" t="s">
        <v>138</v>
      </c>
      <c r="I24" s="7">
        <v>0.92</v>
      </c>
      <c r="J24" s="6" t="s">
        <v>139</v>
      </c>
      <c r="K24" s="7">
        <v>0.96</v>
      </c>
      <c r="V24" s="9">
        <f t="shared" si="1"/>
        <v>0.96</v>
      </c>
      <c r="W24" s="10">
        <f>MAX(V24:V25)</f>
        <v>0.97</v>
      </c>
    </row>
    <row r="25" ht="27.75" customHeight="1">
      <c r="A25" s="1" t="s">
        <v>134</v>
      </c>
      <c r="B25" s="4" t="s">
        <v>39</v>
      </c>
      <c r="C25" s="4" t="s">
        <v>29</v>
      </c>
      <c r="D25" s="5" t="s">
        <v>135</v>
      </c>
      <c r="E25" s="5" t="s">
        <v>136</v>
      </c>
      <c r="F25" s="6" t="s">
        <v>137</v>
      </c>
      <c r="G25" s="7">
        <v>0.92</v>
      </c>
      <c r="H25" s="4" t="s">
        <v>140</v>
      </c>
      <c r="I25" s="7">
        <v>0.96</v>
      </c>
      <c r="J25" s="4" t="s">
        <v>141</v>
      </c>
      <c r="K25" s="7">
        <v>0.97</v>
      </c>
      <c r="V25" s="9">
        <f t="shared" si="1"/>
        <v>0.97</v>
      </c>
      <c r="W25" s="10">
        <f>MAX(V24:V25)</f>
        <v>0.97</v>
      </c>
      <c r="X25" s="15" t="s">
        <v>142</v>
      </c>
      <c r="Y25" s="16" t="s">
        <v>143</v>
      </c>
    </row>
    <row r="26" ht="15.75" customHeight="1">
      <c r="A26" s="1" t="s">
        <v>144</v>
      </c>
      <c r="B26" s="4" t="s">
        <v>28</v>
      </c>
      <c r="C26" s="4" t="s">
        <v>29</v>
      </c>
      <c r="D26" s="5" t="s">
        <v>135</v>
      </c>
      <c r="E26" s="5" t="s">
        <v>145</v>
      </c>
      <c r="F26" s="6" t="s">
        <v>146</v>
      </c>
      <c r="G26" s="7">
        <v>0.9417</v>
      </c>
      <c r="H26" s="6" t="s">
        <v>147</v>
      </c>
      <c r="I26" s="7">
        <v>0.9515</v>
      </c>
      <c r="V26" s="9">
        <f t="shared" si="1"/>
        <v>0.9515</v>
      </c>
      <c r="W26" s="10">
        <f>MAX(V26:V27)</f>
        <v>0.9515</v>
      </c>
    </row>
    <row r="27" ht="15.75" customHeight="1">
      <c r="A27" s="1" t="s">
        <v>144</v>
      </c>
      <c r="B27" s="4" t="s">
        <v>39</v>
      </c>
      <c r="C27" s="4" t="s">
        <v>29</v>
      </c>
      <c r="D27" s="5" t="s">
        <v>135</v>
      </c>
      <c r="E27" s="5" t="s">
        <v>145</v>
      </c>
      <c r="F27" s="6" t="s">
        <v>146</v>
      </c>
      <c r="G27" s="7">
        <v>0.9417</v>
      </c>
      <c r="H27" s="4" t="s">
        <v>148</v>
      </c>
      <c r="I27" s="7">
        <v>0.9515</v>
      </c>
      <c r="V27" s="9">
        <f t="shared" si="1"/>
        <v>0.9515</v>
      </c>
      <c r="W27" s="10">
        <f>MAX(V26:V27)</f>
        <v>0.9515</v>
      </c>
      <c r="X27" s="15" t="s">
        <v>149</v>
      </c>
      <c r="Y27" s="16" t="s">
        <v>150</v>
      </c>
    </row>
    <row r="28" ht="15.75" customHeight="1">
      <c r="A28" s="1" t="s">
        <v>151</v>
      </c>
      <c r="B28" s="4" t="s">
        <v>28</v>
      </c>
      <c r="C28" s="4" t="s">
        <v>29</v>
      </c>
      <c r="D28" s="5" t="s">
        <v>152</v>
      </c>
      <c r="E28" s="5" t="s">
        <v>70</v>
      </c>
      <c r="F28" s="6" t="s">
        <v>153</v>
      </c>
      <c r="G28" s="7">
        <v>0.89</v>
      </c>
      <c r="H28" s="6" t="s">
        <v>154</v>
      </c>
      <c r="I28" s="7">
        <v>0.9505</v>
      </c>
      <c r="J28" s="6" t="s">
        <v>155</v>
      </c>
      <c r="K28" s="7">
        <v>0.9703</v>
      </c>
      <c r="V28" s="9">
        <f t="shared" si="1"/>
        <v>0.9703</v>
      </c>
      <c r="W28" s="10">
        <f>MAX(V28:V29)</f>
        <v>0.9703</v>
      </c>
    </row>
    <row r="29" ht="15.75" customHeight="1">
      <c r="A29" s="1" t="s">
        <v>151</v>
      </c>
      <c r="B29" s="4" t="s">
        <v>39</v>
      </c>
      <c r="C29" s="4" t="s">
        <v>29</v>
      </c>
      <c r="D29" s="5" t="s">
        <v>152</v>
      </c>
      <c r="E29" s="5" t="s">
        <v>70</v>
      </c>
      <c r="F29" s="6" t="s">
        <v>153</v>
      </c>
      <c r="G29" s="7">
        <v>0.89</v>
      </c>
      <c r="H29" s="4" t="s">
        <v>156</v>
      </c>
      <c r="I29" s="7">
        <v>0.9406</v>
      </c>
      <c r="J29" s="4" t="s">
        <v>157</v>
      </c>
      <c r="K29" s="7">
        <v>0.9703</v>
      </c>
      <c r="L29" s="4"/>
      <c r="V29" s="9">
        <f t="shared" si="1"/>
        <v>0.9703</v>
      </c>
      <c r="W29" s="10">
        <f>MAX(V28:V29)</f>
        <v>0.9703</v>
      </c>
      <c r="X29" s="1" t="s">
        <v>133</v>
      </c>
    </row>
    <row r="30" ht="15.75" customHeight="1">
      <c r="A30" s="19" t="s">
        <v>158</v>
      </c>
      <c r="B30" s="4" t="s">
        <v>28</v>
      </c>
      <c r="C30" s="4" t="s">
        <v>91</v>
      </c>
      <c r="D30" s="5" t="s">
        <v>152</v>
      </c>
      <c r="E30" s="5" t="s">
        <v>159</v>
      </c>
      <c r="F30" s="6" t="s">
        <v>160</v>
      </c>
      <c r="G30" s="7">
        <v>0.8</v>
      </c>
      <c r="H30" s="6" t="s">
        <v>161</v>
      </c>
      <c r="I30" s="7">
        <v>0.91</v>
      </c>
      <c r="J30" s="6" t="s">
        <v>162</v>
      </c>
      <c r="K30" s="7">
        <v>0.92</v>
      </c>
      <c r="L30" s="4" t="s">
        <v>163</v>
      </c>
      <c r="M30" s="7">
        <v>0.93</v>
      </c>
      <c r="N30" s="6" t="s">
        <v>164</v>
      </c>
      <c r="O30" s="7">
        <v>0.97</v>
      </c>
      <c r="V30" s="9">
        <f t="shared" si="1"/>
        <v>0.97</v>
      </c>
      <c r="W30" s="10">
        <f>MAX(V30:V31)</f>
        <v>0.97</v>
      </c>
    </row>
    <row r="31" ht="15.75" customHeight="1">
      <c r="A31" s="19" t="s">
        <v>158</v>
      </c>
      <c r="B31" s="4" t="s">
        <v>39</v>
      </c>
      <c r="C31" s="4" t="s">
        <v>91</v>
      </c>
      <c r="D31" s="5" t="s">
        <v>152</v>
      </c>
      <c r="E31" s="5" t="s">
        <v>159</v>
      </c>
      <c r="F31" s="6" t="s">
        <v>160</v>
      </c>
      <c r="G31" s="7">
        <v>0.8</v>
      </c>
      <c r="H31" s="4" t="s">
        <v>165</v>
      </c>
      <c r="I31" s="7">
        <v>0.89</v>
      </c>
      <c r="J31" s="4" t="s">
        <v>166</v>
      </c>
      <c r="K31" s="7">
        <v>0.9</v>
      </c>
      <c r="L31" s="4" t="s">
        <v>167</v>
      </c>
      <c r="M31" s="7">
        <v>0.94</v>
      </c>
      <c r="N31" s="4" t="s">
        <v>168</v>
      </c>
      <c r="O31" s="7">
        <v>0.96</v>
      </c>
      <c r="V31" s="9">
        <f t="shared" si="1"/>
        <v>0.96</v>
      </c>
      <c r="W31" s="10">
        <f>MAX(V30:V31)</f>
        <v>0.97</v>
      </c>
      <c r="X31" s="15" t="s">
        <v>169</v>
      </c>
      <c r="Y31" s="14" t="s">
        <v>170</v>
      </c>
    </row>
    <row r="32" ht="15.75" customHeight="1">
      <c r="D32" s="20"/>
      <c r="E32" s="20"/>
      <c r="F32" s="6"/>
      <c r="G32" s="7"/>
      <c r="I32" s="7"/>
      <c r="K32" s="7"/>
      <c r="M32" s="7"/>
      <c r="S32" s="10"/>
      <c r="T32" s="10"/>
      <c r="U32" s="10"/>
    </row>
    <row r="33" ht="15.75" customHeight="1">
      <c r="D33" s="20"/>
      <c r="E33" s="20"/>
      <c r="F33" s="21"/>
      <c r="H33" s="6"/>
      <c r="I33" s="7"/>
      <c r="J33" s="22"/>
      <c r="K33" s="23"/>
      <c r="L33" s="6"/>
      <c r="M33" s="7"/>
      <c r="S33" s="10"/>
      <c r="T33" s="10"/>
      <c r="U33" s="10"/>
    </row>
    <row r="34" ht="15.75" customHeight="1">
      <c r="D34" s="20"/>
      <c r="E34" s="20"/>
      <c r="F34" s="21"/>
      <c r="L34" s="6"/>
      <c r="N34" s="6"/>
      <c r="O34" s="7"/>
      <c r="S34" s="10"/>
      <c r="T34" s="10"/>
      <c r="U34" s="10"/>
    </row>
    <row r="35" ht="15.75" customHeight="1">
      <c r="D35" s="20"/>
      <c r="E35" s="20"/>
      <c r="F35" s="21"/>
    </row>
    <row r="36" ht="15.75" customHeight="1">
      <c r="D36" s="20"/>
      <c r="E36" s="20"/>
      <c r="F36" s="21"/>
    </row>
    <row r="37" ht="15.75" customHeight="1">
      <c r="D37" s="20"/>
      <c r="E37" s="20"/>
      <c r="F37" s="21"/>
    </row>
    <row r="38" ht="15.75" customHeight="1">
      <c r="D38" s="20"/>
      <c r="E38" s="20"/>
      <c r="F38" s="21"/>
    </row>
    <row r="39" ht="15.75" customHeight="1">
      <c r="D39" s="20"/>
      <c r="E39" s="20"/>
      <c r="F39" s="21"/>
    </row>
    <row r="40" ht="15.75" customHeight="1">
      <c r="D40" s="20"/>
      <c r="E40" s="20"/>
      <c r="F40" s="21"/>
    </row>
    <row r="41" ht="15.75" customHeight="1">
      <c r="D41" s="20"/>
      <c r="E41" s="20"/>
      <c r="F41" s="21"/>
    </row>
    <row r="42" ht="15.75" customHeight="1">
      <c r="D42" s="20"/>
      <c r="E42" s="20"/>
      <c r="F42" s="21"/>
    </row>
    <row r="43" ht="15.75" customHeight="1">
      <c r="D43" s="20"/>
      <c r="E43" s="20"/>
      <c r="F43" s="21"/>
    </row>
    <row r="44" ht="15.75" customHeight="1">
      <c r="D44" s="20"/>
      <c r="E44" s="20"/>
      <c r="F44" s="21"/>
    </row>
    <row r="45" ht="15.75" customHeight="1">
      <c r="D45" s="20"/>
      <c r="E45" s="20"/>
      <c r="F45" s="21"/>
    </row>
    <row r="46" ht="15.75" customHeight="1">
      <c r="D46" s="20"/>
      <c r="E46" s="20"/>
      <c r="F46" s="21"/>
    </row>
    <row r="47" ht="15.75" customHeight="1">
      <c r="D47" s="20"/>
      <c r="E47" s="20"/>
      <c r="F47" s="21"/>
    </row>
    <row r="48" ht="15.75" customHeight="1">
      <c r="D48" s="20"/>
      <c r="E48" s="20"/>
      <c r="F48" s="21"/>
    </row>
    <row r="49" ht="15.75" customHeight="1">
      <c r="D49" s="20"/>
      <c r="E49" s="20"/>
      <c r="F49" s="21"/>
    </row>
    <row r="50" ht="15.75" customHeight="1">
      <c r="D50" s="20"/>
      <c r="E50" s="20"/>
      <c r="F50" s="21"/>
    </row>
    <row r="51" ht="15.75" customHeight="1">
      <c r="D51" s="20"/>
      <c r="E51" s="20"/>
      <c r="F51" s="21"/>
    </row>
    <row r="52" ht="15.75" customHeight="1">
      <c r="D52" s="20"/>
      <c r="E52" s="20"/>
      <c r="F52" s="21"/>
    </row>
    <row r="53" ht="15.75" customHeight="1">
      <c r="D53" s="20"/>
      <c r="E53" s="20"/>
      <c r="F53" s="21"/>
    </row>
    <row r="54" ht="15.75" customHeight="1">
      <c r="D54" s="20"/>
      <c r="E54" s="20"/>
      <c r="F54" s="21"/>
    </row>
    <row r="55" ht="15.75" customHeight="1">
      <c r="D55" s="20"/>
      <c r="E55" s="20"/>
      <c r="F55" s="21"/>
    </row>
    <row r="56" ht="15.75" customHeight="1">
      <c r="D56" s="20"/>
      <c r="E56" s="20"/>
      <c r="F56" s="21"/>
    </row>
    <row r="57" ht="15.75" customHeight="1">
      <c r="D57" s="20"/>
      <c r="E57" s="20"/>
      <c r="F57" s="21"/>
    </row>
    <row r="58" ht="15.75" customHeight="1">
      <c r="D58" s="20"/>
      <c r="E58" s="20"/>
      <c r="F58" s="21"/>
    </row>
    <row r="59" ht="15.75" customHeight="1">
      <c r="D59" s="20"/>
      <c r="E59" s="20"/>
      <c r="F59" s="21"/>
    </row>
    <row r="60" ht="15.75" customHeight="1">
      <c r="D60" s="20"/>
      <c r="E60" s="20"/>
      <c r="F60" s="21"/>
    </row>
    <row r="61" ht="15.75" customHeight="1">
      <c r="D61" s="20"/>
      <c r="E61" s="20"/>
      <c r="F61" s="21"/>
    </row>
    <row r="62" ht="15.75" customHeight="1">
      <c r="D62" s="20"/>
      <c r="E62" s="20"/>
      <c r="F62" s="21"/>
    </row>
    <row r="63" ht="15.75" customHeight="1">
      <c r="D63" s="20"/>
      <c r="E63" s="20"/>
      <c r="F63" s="21"/>
    </row>
    <row r="64" ht="15.75" customHeight="1">
      <c r="D64" s="20"/>
      <c r="E64" s="20"/>
      <c r="F64" s="21"/>
    </row>
    <row r="65" ht="15.75" customHeight="1">
      <c r="D65" s="20"/>
      <c r="E65" s="20"/>
      <c r="F65" s="21"/>
    </row>
    <row r="66" ht="15.75" customHeight="1">
      <c r="D66" s="20"/>
      <c r="E66" s="20"/>
      <c r="F66" s="21"/>
    </row>
    <row r="67" ht="15.75" customHeight="1">
      <c r="D67" s="20"/>
      <c r="E67" s="20"/>
      <c r="F67" s="21"/>
    </row>
    <row r="68" ht="15.75" customHeight="1">
      <c r="D68" s="20"/>
      <c r="E68" s="20"/>
      <c r="F68" s="21"/>
    </row>
    <row r="69" ht="15.75" customHeight="1">
      <c r="D69" s="20"/>
      <c r="E69" s="20"/>
      <c r="F69" s="21"/>
    </row>
    <row r="70" ht="15.75" customHeight="1">
      <c r="D70" s="20"/>
      <c r="E70" s="20"/>
      <c r="F70" s="21"/>
    </row>
    <row r="71" ht="15.75" customHeight="1">
      <c r="D71" s="20"/>
      <c r="E71" s="20"/>
      <c r="F71" s="21"/>
    </row>
    <row r="72" ht="15.75" customHeight="1">
      <c r="D72" s="20"/>
      <c r="E72" s="20"/>
      <c r="F72" s="21"/>
    </row>
    <row r="73" ht="15.75" customHeight="1">
      <c r="D73" s="20"/>
      <c r="E73" s="20"/>
      <c r="F73" s="21"/>
    </row>
    <row r="74" ht="15.75" customHeight="1">
      <c r="D74" s="20"/>
      <c r="E74" s="20"/>
      <c r="F74" s="21"/>
    </row>
    <row r="75" ht="15.75" customHeight="1">
      <c r="D75" s="20"/>
      <c r="E75" s="20"/>
      <c r="F75" s="21"/>
    </row>
    <row r="76" ht="15.75" customHeight="1">
      <c r="D76" s="20"/>
      <c r="E76" s="20"/>
      <c r="F76" s="21"/>
    </row>
    <row r="77" ht="15.75" customHeight="1">
      <c r="D77" s="20"/>
      <c r="E77" s="20"/>
      <c r="F77" s="21"/>
    </row>
    <row r="78" ht="15.75" customHeight="1">
      <c r="D78" s="20"/>
      <c r="E78" s="20"/>
      <c r="F78" s="21"/>
    </row>
    <row r="79" ht="15.75" customHeight="1">
      <c r="D79" s="20"/>
      <c r="E79" s="20"/>
      <c r="F79" s="21"/>
    </row>
    <row r="80" ht="15.75" customHeight="1">
      <c r="D80" s="20"/>
      <c r="E80" s="20"/>
      <c r="F80" s="21"/>
    </row>
    <row r="81" ht="15.75" customHeight="1">
      <c r="D81" s="20"/>
      <c r="E81" s="20"/>
      <c r="F81" s="21"/>
    </row>
    <row r="82" ht="15.75" customHeight="1">
      <c r="D82" s="20"/>
      <c r="E82" s="20"/>
      <c r="F82" s="21"/>
    </row>
    <row r="83" ht="15.75" customHeight="1">
      <c r="D83" s="20"/>
      <c r="E83" s="20"/>
      <c r="F83" s="21"/>
    </row>
    <row r="84" ht="15.75" customHeight="1">
      <c r="D84" s="20"/>
      <c r="E84" s="20"/>
      <c r="F84" s="21"/>
    </row>
    <row r="85" ht="15.75" customHeight="1">
      <c r="D85" s="20"/>
      <c r="E85" s="20"/>
      <c r="F85" s="21"/>
    </row>
    <row r="86" ht="15.75" customHeight="1">
      <c r="D86" s="20"/>
      <c r="E86" s="20"/>
      <c r="F86" s="21"/>
    </row>
    <row r="87" ht="15.75" customHeight="1">
      <c r="D87" s="20"/>
      <c r="E87" s="20"/>
      <c r="F87" s="21"/>
    </row>
    <row r="88" ht="15.75" customHeight="1">
      <c r="D88" s="20"/>
      <c r="E88" s="20"/>
      <c r="F88" s="21"/>
    </row>
    <row r="89" ht="15.75" customHeight="1">
      <c r="D89" s="20"/>
      <c r="E89" s="20"/>
      <c r="F89" s="21"/>
    </row>
    <row r="90" ht="15.75" customHeight="1">
      <c r="D90" s="20"/>
      <c r="E90" s="20"/>
      <c r="F90" s="21"/>
    </row>
    <row r="91" ht="15.75" customHeight="1">
      <c r="D91" s="20"/>
      <c r="E91" s="20"/>
      <c r="F91" s="21"/>
    </row>
    <row r="92" ht="15.75" customHeight="1">
      <c r="D92" s="20"/>
      <c r="E92" s="20"/>
      <c r="F92" s="21"/>
    </row>
    <row r="93" ht="15.75" customHeight="1">
      <c r="D93" s="20"/>
      <c r="E93" s="20"/>
      <c r="F93" s="21"/>
    </row>
    <row r="94" ht="15.75" customHeight="1">
      <c r="D94" s="20"/>
      <c r="E94" s="20"/>
      <c r="F94" s="21"/>
    </row>
    <row r="95" ht="15.75" customHeight="1">
      <c r="D95" s="20"/>
      <c r="E95" s="20"/>
      <c r="F95" s="21"/>
    </row>
    <row r="96" ht="15.75" customHeight="1">
      <c r="D96" s="20"/>
      <c r="E96" s="20"/>
      <c r="F96" s="21"/>
    </row>
    <row r="97" ht="15.75" customHeight="1">
      <c r="D97" s="20"/>
      <c r="E97" s="20"/>
      <c r="F97" s="21"/>
    </row>
    <row r="98" ht="15.75" customHeight="1">
      <c r="D98" s="20"/>
      <c r="E98" s="20"/>
      <c r="F98" s="21"/>
    </row>
    <row r="99" ht="15.75" customHeight="1">
      <c r="D99" s="20"/>
      <c r="E99" s="20"/>
      <c r="F99" s="21"/>
    </row>
    <row r="100" ht="15.75" customHeight="1">
      <c r="D100" s="20"/>
      <c r="E100" s="20"/>
      <c r="F100" s="21"/>
    </row>
    <row r="101" ht="15.75" customHeight="1">
      <c r="D101" s="20"/>
      <c r="E101" s="20"/>
      <c r="F101" s="21"/>
    </row>
    <row r="102" ht="15.75" customHeight="1">
      <c r="D102" s="20"/>
      <c r="E102" s="20"/>
      <c r="F102" s="21"/>
    </row>
    <row r="103" ht="15.75" customHeight="1">
      <c r="D103" s="20"/>
      <c r="E103" s="20"/>
      <c r="F103" s="21"/>
    </row>
    <row r="104" ht="15.75" customHeight="1">
      <c r="D104" s="20"/>
      <c r="E104" s="20"/>
      <c r="F104" s="21"/>
    </row>
    <row r="105" ht="15.75" customHeight="1">
      <c r="D105" s="20"/>
      <c r="E105" s="20"/>
      <c r="F105" s="21"/>
    </row>
    <row r="106" ht="15.75" customHeight="1">
      <c r="D106" s="20"/>
      <c r="E106" s="20"/>
      <c r="F106" s="21"/>
    </row>
    <row r="107" ht="15.75" customHeight="1">
      <c r="D107" s="20"/>
      <c r="E107" s="20"/>
      <c r="F107" s="21"/>
    </row>
    <row r="108" ht="15.75" customHeight="1">
      <c r="D108" s="20"/>
      <c r="E108" s="20"/>
      <c r="F108" s="21"/>
    </row>
    <row r="109" ht="15.75" customHeight="1">
      <c r="D109" s="20"/>
      <c r="E109" s="20"/>
      <c r="F109" s="21"/>
    </row>
    <row r="110" ht="15.75" customHeight="1">
      <c r="D110" s="20"/>
      <c r="E110" s="20"/>
      <c r="F110" s="21"/>
    </row>
    <row r="111" ht="15.75" customHeight="1">
      <c r="D111" s="20"/>
      <c r="E111" s="20"/>
      <c r="F111" s="21"/>
    </row>
    <row r="112" ht="15.75" customHeight="1">
      <c r="D112" s="20"/>
      <c r="E112" s="20"/>
      <c r="F112" s="21"/>
    </row>
    <row r="113" ht="15.75" customHeight="1">
      <c r="D113" s="20"/>
      <c r="E113" s="20"/>
      <c r="F113" s="21"/>
    </row>
    <row r="114" ht="15.75" customHeight="1">
      <c r="D114" s="20"/>
      <c r="E114" s="20"/>
      <c r="F114" s="21"/>
    </row>
    <row r="115" ht="15.75" customHeight="1">
      <c r="D115" s="20"/>
      <c r="E115" s="20"/>
      <c r="F115" s="21"/>
    </row>
    <row r="116" ht="15.75" customHeight="1">
      <c r="D116" s="20"/>
      <c r="E116" s="20"/>
      <c r="F116" s="21"/>
    </row>
    <row r="117" ht="15.75" customHeight="1">
      <c r="D117" s="20"/>
      <c r="E117" s="20"/>
      <c r="F117" s="21"/>
    </row>
    <row r="118" ht="15.75" customHeight="1">
      <c r="D118" s="20"/>
      <c r="E118" s="20"/>
      <c r="F118" s="21"/>
    </row>
    <row r="119" ht="15.75" customHeight="1">
      <c r="D119" s="20"/>
      <c r="E119" s="20"/>
      <c r="F119" s="21"/>
    </row>
    <row r="120" ht="15.75" customHeight="1">
      <c r="D120" s="20"/>
      <c r="E120" s="20"/>
      <c r="F120" s="21"/>
    </row>
    <row r="121" ht="15.75" customHeight="1">
      <c r="D121" s="20"/>
      <c r="E121" s="20"/>
      <c r="F121" s="21"/>
    </row>
    <row r="122" ht="15.75" customHeight="1">
      <c r="D122" s="20"/>
      <c r="E122" s="20"/>
      <c r="F122" s="21"/>
    </row>
    <row r="123" ht="15.75" customHeight="1">
      <c r="D123" s="20"/>
      <c r="E123" s="20"/>
      <c r="F123" s="21"/>
    </row>
    <row r="124" ht="15.75" customHeight="1">
      <c r="D124" s="20"/>
      <c r="E124" s="20"/>
      <c r="F124" s="21"/>
    </row>
    <row r="125" ht="15.75" customHeight="1">
      <c r="D125" s="20"/>
      <c r="E125" s="20"/>
      <c r="F125" s="21"/>
    </row>
    <row r="126" ht="15.75" customHeight="1">
      <c r="D126" s="20"/>
      <c r="E126" s="20"/>
      <c r="F126" s="21"/>
    </row>
    <row r="127" ht="15.75" customHeight="1">
      <c r="D127" s="20"/>
      <c r="E127" s="20"/>
      <c r="F127" s="21"/>
    </row>
    <row r="128" ht="15.75" customHeight="1">
      <c r="D128" s="20"/>
      <c r="E128" s="20"/>
      <c r="F128" s="21"/>
    </row>
    <row r="129" ht="15.75" customHeight="1">
      <c r="D129" s="20"/>
      <c r="E129" s="20"/>
      <c r="F129" s="21"/>
    </row>
    <row r="130" ht="15.75" customHeight="1">
      <c r="D130" s="20"/>
      <c r="E130" s="20"/>
      <c r="F130" s="21"/>
    </row>
    <row r="131" ht="15.75" customHeight="1">
      <c r="D131" s="20"/>
      <c r="E131" s="20"/>
      <c r="F131" s="21"/>
    </row>
    <row r="132" ht="15.75" customHeight="1">
      <c r="D132" s="20"/>
      <c r="E132" s="20"/>
      <c r="F132" s="21"/>
    </row>
    <row r="133" ht="15.75" customHeight="1">
      <c r="D133" s="20"/>
      <c r="E133" s="20"/>
      <c r="F133" s="21"/>
    </row>
    <row r="134" ht="15.75" customHeight="1">
      <c r="D134" s="20"/>
      <c r="E134" s="20"/>
      <c r="F134" s="21"/>
    </row>
    <row r="135" ht="15.75" customHeight="1">
      <c r="D135" s="20"/>
      <c r="E135" s="20"/>
      <c r="F135" s="21"/>
    </row>
    <row r="136" ht="15.75" customHeight="1">
      <c r="D136" s="20"/>
      <c r="E136" s="20"/>
      <c r="F136" s="21"/>
    </row>
    <row r="137" ht="15.75" customHeight="1">
      <c r="D137" s="20"/>
      <c r="E137" s="20"/>
      <c r="F137" s="21"/>
    </row>
    <row r="138" ht="15.75" customHeight="1">
      <c r="D138" s="20"/>
      <c r="E138" s="20"/>
      <c r="F138" s="21"/>
    </row>
    <row r="139" ht="15.75" customHeight="1">
      <c r="D139" s="20"/>
      <c r="E139" s="20"/>
      <c r="F139" s="21"/>
    </row>
    <row r="140" ht="15.75" customHeight="1">
      <c r="D140" s="20"/>
      <c r="E140" s="20"/>
      <c r="F140" s="21"/>
    </row>
    <row r="141" ht="15.75" customHeight="1">
      <c r="D141" s="20"/>
      <c r="E141" s="20"/>
      <c r="F141" s="21"/>
    </row>
    <row r="142" ht="15.75" customHeight="1">
      <c r="D142" s="20"/>
      <c r="E142" s="20"/>
      <c r="F142" s="21"/>
    </row>
    <row r="143" ht="15.75" customHeight="1">
      <c r="D143" s="20"/>
      <c r="E143" s="20"/>
      <c r="F143" s="21"/>
    </row>
    <row r="144" ht="15.75" customHeight="1">
      <c r="D144" s="20"/>
      <c r="E144" s="20"/>
      <c r="F144" s="21"/>
    </row>
    <row r="145" ht="15.75" customHeight="1">
      <c r="D145" s="20"/>
      <c r="E145" s="20"/>
      <c r="F145" s="21"/>
    </row>
    <row r="146" ht="15.75" customHeight="1">
      <c r="D146" s="20"/>
      <c r="E146" s="20"/>
      <c r="F146" s="21"/>
    </row>
    <row r="147" ht="15.75" customHeight="1">
      <c r="D147" s="20"/>
      <c r="E147" s="20"/>
      <c r="F147" s="21"/>
    </row>
    <row r="148" ht="15.75" customHeight="1">
      <c r="D148" s="20"/>
      <c r="E148" s="20"/>
      <c r="F148" s="21"/>
    </row>
    <row r="149" ht="15.75" customHeight="1">
      <c r="D149" s="20"/>
      <c r="E149" s="20"/>
      <c r="F149" s="21"/>
    </row>
    <row r="150" ht="15.75" customHeight="1">
      <c r="D150" s="20"/>
      <c r="E150" s="20"/>
      <c r="F150" s="21"/>
    </row>
    <row r="151" ht="15.75" customHeight="1">
      <c r="D151" s="20"/>
      <c r="E151" s="20"/>
      <c r="F151" s="21"/>
    </row>
    <row r="152" ht="15.75" customHeight="1">
      <c r="D152" s="20"/>
      <c r="E152" s="20"/>
      <c r="F152" s="21"/>
    </row>
    <row r="153" ht="15.75" customHeight="1">
      <c r="D153" s="20"/>
      <c r="E153" s="20"/>
      <c r="F153" s="21"/>
    </row>
    <row r="154" ht="15.75" customHeight="1">
      <c r="D154" s="20"/>
      <c r="E154" s="20"/>
      <c r="F154" s="21"/>
    </row>
    <row r="155" ht="15.75" customHeight="1">
      <c r="D155" s="20"/>
      <c r="E155" s="20"/>
      <c r="F155" s="21"/>
    </row>
    <row r="156" ht="15.75" customHeight="1">
      <c r="D156" s="20"/>
      <c r="E156" s="20"/>
      <c r="F156" s="21"/>
    </row>
    <row r="157" ht="15.75" customHeight="1">
      <c r="D157" s="20"/>
      <c r="E157" s="20"/>
      <c r="F157" s="21"/>
    </row>
    <row r="158" ht="15.75" customHeight="1">
      <c r="D158" s="20"/>
      <c r="E158" s="20"/>
      <c r="F158" s="21"/>
    </row>
    <row r="159" ht="15.75" customHeight="1">
      <c r="D159" s="20"/>
      <c r="E159" s="20"/>
      <c r="F159" s="21"/>
    </row>
    <row r="160" ht="15.75" customHeight="1">
      <c r="D160" s="20"/>
      <c r="E160" s="20"/>
      <c r="F160" s="21"/>
    </row>
    <row r="161" ht="15.75" customHeight="1">
      <c r="D161" s="20"/>
      <c r="E161" s="20"/>
      <c r="F161" s="21"/>
    </row>
    <row r="162" ht="15.75" customHeight="1">
      <c r="D162" s="20"/>
      <c r="E162" s="20"/>
      <c r="F162" s="21"/>
    </row>
    <row r="163" ht="15.75" customHeight="1">
      <c r="D163" s="20"/>
      <c r="E163" s="20"/>
      <c r="F163" s="21"/>
    </row>
    <row r="164" ht="15.75" customHeight="1">
      <c r="D164" s="20"/>
      <c r="E164" s="20"/>
      <c r="F164" s="21"/>
    </row>
    <row r="165" ht="15.75" customHeight="1">
      <c r="D165" s="20"/>
      <c r="E165" s="20"/>
      <c r="F165" s="21"/>
    </row>
    <row r="166" ht="15.75" customHeight="1">
      <c r="D166" s="20"/>
      <c r="E166" s="20"/>
      <c r="F166" s="21"/>
    </row>
    <row r="167" ht="15.75" customHeight="1">
      <c r="D167" s="20"/>
      <c r="E167" s="20"/>
      <c r="F167" s="21"/>
    </row>
    <row r="168" ht="15.75" customHeight="1">
      <c r="D168" s="20"/>
      <c r="E168" s="20"/>
      <c r="F168" s="21"/>
    </row>
    <row r="169" ht="15.75" customHeight="1">
      <c r="D169" s="20"/>
      <c r="E169" s="20"/>
      <c r="F169" s="21"/>
    </row>
    <row r="170" ht="15.75" customHeight="1">
      <c r="D170" s="20"/>
      <c r="E170" s="20"/>
      <c r="F170" s="21"/>
    </row>
    <row r="171" ht="15.75" customHeight="1">
      <c r="D171" s="20"/>
      <c r="E171" s="20"/>
      <c r="F171" s="21"/>
    </row>
    <row r="172" ht="15.75" customHeight="1">
      <c r="D172" s="20"/>
      <c r="E172" s="20"/>
      <c r="F172" s="21"/>
    </row>
    <row r="173" ht="15.75" customHeight="1">
      <c r="D173" s="20"/>
      <c r="E173" s="20"/>
      <c r="F173" s="21"/>
    </row>
    <row r="174" ht="15.75" customHeight="1">
      <c r="D174" s="20"/>
      <c r="E174" s="20"/>
      <c r="F174" s="21"/>
    </row>
    <row r="175" ht="15.75" customHeight="1">
      <c r="D175" s="20"/>
      <c r="E175" s="20"/>
      <c r="F175" s="21"/>
    </row>
    <row r="176" ht="15.75" customHeight="1">
      <c r="D176" s="20"/>
      <c r="E176" s="20"/>
      <c r="F176" s="21"/>
    </row>
    <row r="177" ht="15.75" customHeight="1">
      <c r="D177" s="20"/>
      <c r="E177" s="20"/>
      <c r="F177" s="21"/>
    </row>
    <row r="178" ht="15.75" customHeight="1">
      <c r="D178" s="20"/>
      <c r="E178" s="20"/>
      <c r="F178" s="21"/>
    </row>
    <row r="179" ht="15.75" customHeight="1">
      <c r="D179" s="20"/>
      <c r="E179" s="20"/>
      <c r="F179" s="21"/>
    </row>
    <row r="180" ht="15.75" customHeight="1">
      <c r="D180" s="20"/>
      <c r="E180" s="20"/>
      <c r="F180" s="21"/>
    </row>
    <row r="181" ht="15.75" customHeight="1">
      <c r="D181" s="20"/>
      <c r="E181" s="20"/>
      <c r="F181" s="21"/>
    </row>
    <row r="182" ht="15.75" customHeight="1">
      <c r="D182" s="20"/>
      <c r="E182" s="20"/>
      <c r="F182" s="21"/>
    </row>
    <row r="183" ht="15.75" customHeight="1">
      <c r="D183" s="20"/>
      <c r="E183" s="20"/>
      <c r="F183" s="21"/>
    </row>
    <row r="184" ht="15.75" customHeight="1">
      <c r="D184" s="20"/>
      <c r="E184" s="20"/>
      <c r="F184" s="21"/>
    </row>
    <row r="185" ht="15.75" customHeight="1">
      <c r="D185" s="20"/>
      <c r="E185" s="20"/>
      <c r="F185" s="21"/>
    </row>
    <row r="186" ht="15.75" customHeight="1">
      <c r="D186" s="20"/>
      <c r="E186" s="20"/>
      <c r="F186" s="21"/>
    </row>
    <row r="187" ht="15.75" customHeight="1">
      <c r="D187" s="20"/>
      <c r="E187" s="20"/>
      <c r="F187" s="21"/>
    </row>
    <row r="188" ht="15.75" customHeight="1">
      <c r="D188" s="20"/>
      <c r="E188" s="20"/>
      <c r="F188" s="21"/>
    </row>
    <row r="189" ht="15.75" customHeight="1">
      <c r="D189" s="20"/>
      <c r="E189" s="20"/>
      <c r="F189" s="21"/>
    </row>
    <row r="190" ht="15.75" customHeight="1">
      <c r="D190" s="20"/>
      <c r="E190" s="20"/>
      <c r="F190" s="21"/>
    </row>
    <row r="191" ht="15.75" customHeight="1">
      <c r="D191" s="20"/>
      <c r="E191" s="20"/>
      <c r="F191" s="21"/>
    </row>
    <row r="192" ht="15.75" customHeight="1">
      <c r="D192" s="20"/>
      <c r="E192" s="20"/>
      <c r="F192" s="21"/>
    </row>
    <row r="193" ht="15.75" customHeight="1">
      <c r="D193" s="20"/>
      <c r="E193" s="20"/>
      <c r="F193" s="21"/>
    </row>
    <row r="194" ht="15.75" customHeight="1">
      <c r="D194" s="20"/>
      <c r="E194" s="20"/>
      <c r="F194" s="21"/>
    </row>
    <row r="195" ht="15.75" customHeight="1">
      <c r="D195" s="20"/>
      <c r="E195" s="20"/>
      <c r="F195" s="21"/>
    </row>
    <row r="196" ht="15.75" customHeight="1">
      <c r="D196" s="20"/>
      <c r="E196" s="20"/>
      <c r="F196" s="21"/>
    </row>
    <row r="197" ht="15.75" customHeight="1">
      <c r="D197" s="20"/>
      <c r="E197" s="20"/>
      <c r="F197" s="21"/>
    </row>
    <row r="198" ht="15.75" customHeight="1">
      <c r="D198" s="20"/>
      <c r="E198" s="20"/>
      <c r="F198" s="21"/>
    </row>
    <row r="199" ht="15.75" customHeight="1">
      <c r="D199" s="20"/>
      <c r="E199" s="20"/>
      <c r="F199" s="21"/>
    </row>
    <row r="200" ht="15.75" customHeight="1">
      <c r="D200" s="20"/>
      <c r="E200" s="20"/>
      <c r="F200" s="21"/>
    </row>
    <row r="201" ht="15.75" customHeight="1">
      <c r="D201" s="20"/>
      <c r="E201" s="20"/>
      <c r="F201" s="21"/>
    </row>
    <row r="202" ht="15.75" customHeight="1">
      <c r="D202" s="20"/>
      <c r="E202" s="20"/>
      <c r="F202" s="21"/>
    </row>
    <row r="203" ht="15.75" customHeight="1">
      <c r="D203" s="20"/>
      <c r="E203" s="20"/>
      <c r="F203" s="21"/>
    </row>
    <row r="204" ht="15.75" customHeight="1">
      <c r="D204" s="20"/>
      <c r="E204" s="20"/>
      <c r="F204" s="21"/>
    </row>
    <row r="205" ht="15.75" customHeight="1">
      <c r="D205" s="20"/>
      <c r="E205" s="20"/>
      <c r="F205" s="21"/>
    </row>
    <row r="206" ht="15.75" customHeight="1">
      <c r="D206" s="20"/>
      <c r="E206" s="20"/>
      <c r="F206" s="21"/>
    </row>
    <row r="207" ht="15.75" customHeight="1">
      <c r="D207" s="20"/>
      <c r="E207" s="20"/>
      <c r="F207" s="21"/>
    </row>
    <row r="208" ht="15.75" customHeight="1">
      <c r="D208" s="20"/>
      <c r="E208" s="20"/>
      <c r="F208" s="21"/>
    </row>
    <row r="209" ht="15.75" customHeight="1">
      <c r="D209" s="20"/>
      <c r="E209" s="20"/>
      <c r="F209" s="21"/>
    </row>
    <row r="210" ht="15.75" customHeight="1">
      <c r="D210" s="20"/>
      <c r="E210" s="20"/>
      <c r="F210" s="21"/>
    </row>
    <row r="211" ht="15.75" customHeight="1">
      <c r="D211" s="20"/>
      <c r="E211" s="20"/>
      <c r="F211" s="21"/>
    </row>
    <row r="212" ht="15.75" customHeight="1">
      <c r="D212" s="20"/>
      <c r="E212" s="20"/>
      <c r="F212" s="21"/>
    </row>
    <row r="213" ht="15.75" customHeight="1">
      <c r="D213" s="20"/>
      <c r="E213" s="20"/>
      <c r="F213" s="21"/>
    </row>
    <row r="214" ht="15.75" customHeight="1">
      <c r="D214" s="20"/>
      <c r="E214" s="20"/>
      <c r="F214" s="21"/>
    </row>
    <row r="215" ht="15.75" customHeight="1">
      <c r="D215" s="20"/>
      <c r="E215" s="20"/>
      <c r="F215" s="21"/>
    </row>
    <row r="216" ht="15.75" customHeight="1">
      <c r="D216" s="20"/>
      <c r="E216" s="20"/>
      <c r="F216" s="21"/>
    </row>
    <row r="217" ht="15.75" customHeight="1">
      <c r="D217" s="20"/>
      <c r="E217" s="20"/>
      <c r="F217" s="21"/>
    </row>
    <row r="218" ht="15.75" customHeight="1">
      <c r="D218" s="20"/>
      <c r="E218" s="20"/>
      <c r="F218" s="21"/>
    </row>
    <row r="219" ht="15.75" customHeight="1">
      <c r="D219" s="20"/>
      <c r="E219" s="20"/>
      <c r="F219" s="21"/>
    </row>
    <row r="220" ht="15.75" customHeight="1">
      <c r="D220" s="20"/>
      <c r="E220" s="20"/>
      <c r="F220" s="21"/>
    </row>
    <row r="221" ht="15.75" customHeight="1">
      <c r="D221" s="20"/>
      <c r="E221" s="20"/>
      <c r="F221" s="21"/>
    </row>
    <row r="222" ht="15.75" customHeight="1">
      <c r="D222" s="20"/>
      <c r="E222" s="20"/>
      <c r="F222" s="21"/>
    </row>
    <row r="223" ht="15.75" customHeight="1">
      <c r="D223" s="20"/>
      <c r="E223" s="20"/>
      <c r="F223" s="21"/>
    </row>
    <row r="224" ht="15.75" customHeight="1">
      <c r="D224" s="20"/>
      <c r="E224" s="20"/>
      <c r="F224" s="21"/>
    </row>
    <row r="225" ht="15.75" customHeight="1">
      <c r="D225" s="20"/>
      <c r="E225" s="20"/>
      <c r="F225" s="21"/>
    </row>
    <row r="226" ht="15.75" customHeight="1">
      <c r="D226" s="20"/>
      <c r="E226" s="20"/>
      <c r="F226" s="21"/>
    </row>
    <row r="227" ht="15.75" customHeight="1">
      <c r="D227" s="20"/>
      <c r="E227" s="20"/>
      <c r="F227" s="21"/>
    </row>
    <row r="228" ht="15.75" customHeight="1">
      <c r="D228" s="20"/>
      <c r="E228" s="20"/>
      <c r="F228" s="21"/>
    </row>
    <row r="229" ht="15.75" customHeight="1">
      <c r="D229" s="20"/>
      <c r="E229" s="20"/>
      <c r="F229" s="21"/>
    </row>
    <row r="230" ht="15.75" customHeight="1">
      <c r="D230" s="20"/>
      <c r="E230" s="20"/>
      <c r="F230" s="21"/>
    </row>
    <row r="231" ht="15.75" customHeight="1">
      <c r="D231" s="20"/>
      <c r="E231" s="20"/>
      <c r="F231" s="21"/>
    </row>
    <row r="232" ht="15.75" customHeight="1">
      <c r="D232" s="20"/>
      <c r="E232" s="20"/>
      <c r="F232" s="21"/>
    </row>
    <row r="233" ht="15.75" customHeight="1">
      <c r="D233" s="20"/>
      <c r="E233" s="20"/>
      <c r="F233" s="21"/>
    </row>
    <row r="234" ht="15.75" customHeight="1">
      <c r="D234" s="20"/>
      <c r="E234" s="20"/>
      <c r="F234" s="21"/>
    </row>
    <row r="235" ht="15.75" customHeight="1">
      <c r="D235" s="20"/>
      <c r="E235" s="20"/>
      <c r="F235" s="21"/>
    </row>
    <row r="236" ht="15.75" customHeight="1">
      <c r="D236" s="20"/>
      <c r="E236" s="20"/>
      <c r="F236" s="21"/>
    </row>
    <row r="237" ht="15.75" customHeight="1">
      <c r="D237" s="20"/>
      <c r="E237" s="20"/>
      <c r="F237" s="21"/>
    </row>
    <row r="238" ht="15.75" customHeight="1">
      <c r="D238" s="20"/>
      <c r="E238" s="20"/>
      <c r="F238" s="21"/>
    </row>
    <row r="239" ht="15.75" customHeight="1">
      <c r="D239" s="20"/>
      <c r="E239" s="20"/>
      <c r="F239" s="21"/>
    </row>
    <row r="240" ht="15.75" customHeight="1">
      <c r="D240" s="20"/>
      <c r="E240" s="20"/>
      <c r="F240" s="21"/>
    </row>
    <row r="241" ht="15.75" customHeight="1">
      <c r="D241" s="20"/>
      <c r="E241" s="20"/>
      <c r="F241" s="21"/>
    </row>
    <row r="242" ht="15.75" customHeight="1">
      <c r="D242" s="20"/>
      <c r="E242" s="20"/>
      <c r="F242" s="21"/>
    </row>
    <row r="243" ht="15.75" customHeight="1">
      <c r="D243" s="20"/>
      <c r="E243" s="20"/>
      <c r="F243" s="21"/>
    </row>
    <row r="244" ht="15.75" customHeight="1">
      <c r="D244" s="20"/>
      <c r="E244" s="20"/>
      <c r="F244" s="21"/>
    </row>
    <row r="245" ht="15.75" customHeight="1">
      <c r="D245" s="20"/>
      <c r="E245" s="20"/>
      <c r="F245" s="21"/>
    </row>
    <row r="246" ht="15.75" customHeight="1">
      <c r="D246" s="20"/>
      <c r="E246" s="20"/>
      <c r="F246" s="21"/>
    </row>
    <row r="247" ht="15.75" customHeight="1">
      <c r="D247" s="20"/>
      <c r="E247" s="20"/>
      <c r="F247" s="21"/>
    </row>
    <row r="248" ht="15.75" customHeight="1">
      <c r="D248" s="20"/>
      <c r="E248" s="20"/>
      <c r="F248" s="21"/>
    </row>
    <row r="249" ht="15.75" customHeight="1">
      <c r="D249" s="20"/>
      <c r="E249" s="20"/>
      <c r="F249" s="21"/>
    </row>
    <row r="250" ht="15.75" customHeight="1">
      <c r="D250" s="20"/>
      <c r="E250" s="20"/>
      <c r="F250" s="21"/>
    </row>
    <row r="251" ht="15.75" customHeight="1">
      <c r="D251" s="20"/>
      <c r="E251" s="20"/>
      <c r="F251" s="21"/>
    </row>
    <row r="252" ht="15.75" customHeight="1">
      <c r="D252" s="20"/>
      <c r="E252" s="20"/>
      <c r="F252" s="21"/>
    </row>
    <row r="253" ht="15.75" customHeight="1">
      <c r="D253" s="20"/>
      <c r="E253" s="20"/>
      <c r="F253" s="21"/>
    </row>
    <row r="254" ht="15.75" customHeight="1">
      <c r="D254" s="20"/>
      <c r="E254" s="20"/>
      <c r="F254" s="21"/>
    </row>
    <row r="255" ht="15.75" customHeight="1">
      <c r="D255" s="20"/>
      <c r="E255" s="20"/>
      <c r="F255" s="21"/>
    </row>
    <row r="256" ht="15.75" customHeight="1">
      <c r="D256" s="20"/>
      <c r="E256" s="20"/>
      <c r="F256" s="21"/>
    </row>
    <row r="257" ht="15.75" customHeight="1">
      <c r="D257" s="20"/>
      <c r="E257" s="20"/>
      <c r="F257" s="21"/>
    </row>
    <row r="258" ht="15.75" customHeight="1">
      <c r="D258" s="20"/>
      <c r="E258" s="20"/>
      <c r="F258" s="21"/>
    </row>
    <row r="259" ht="15.75" customHeight="1">
      <c r="D259" s="20"/>
      <c r="E259" s="20"/>
      <c r="F259" s="21"/>
    </row>
    <row r="260" ht="15.75" customHeight="1">
      <c r="D260" s="20"/>
      <c r="E260" s="20"/>
      <c r="F260" s="21"/>
    </row>
    <row r="261" ht="15.75" customHeight="1">
      <c r="D261" s="20"/>
      <c r="E261" s="20"/>
      <c r="F261" s="21"/>
    </row>
    <row r="262" ht="15.75" customHeight="1">
      <c r="D262" s="20"/>
      <c r="E262" s="20"/>
      <c r="F262" s="21"/>
    </row>
    <row r="263" ht="15.75" customHeight="1">
      <c r="D263" s="20"/>
      <c r="E263" s="20"/>
      <c r="F263" s="21"/>
    </row>
    <row r="264" ht="15.75" customHeight="1">
      <c r="D264" s="20"/>
      <c r="E264" s="20"/>
      <c r="F264" s="21"/>
    </row>
    <row r="265" ht="15.75" customHeight="1">
      <c r="D265" s="20"/>
      <c r="E265" s="20"/>
      <c r="F265" s="21"/>
    </row>
    <row r="266" ht="15.75" customHeight="1">
      <c r="D266" s="20"/>
      <c r="E266" s="20"/>
      <c r="F266" s="21"/>
    </row>
    <row r="267" ht="15.75" customHeight="1">
      <c r="D267" s="20"/>
      <c r="E267" s="20"/>
      <c r="F267" s="21"/>
    </row>
    <row r="268" ht="15.75" customHeight="1">
      <c r="D268" s="20"/>
      <c r="E268" s="20"/>
      <c r="F268" s="21"/>
    </row>
    <row r="269" ht="15.75" customHeight="1">
      <c r="D269" s="20"/>
      <c r="E269" s="20"/>
      <c r="F269" s="21"/>
    </row>
    <row r="270" ht="15.75" customHeight="1">
      <c r="D270" s="20"/>
      <c r="E270" s="20"/>
      <c r="F270" s="21"/>
    </row>
    <row r="271" ht="15.75" customHeight="1">
      <c r="D271" s="20"/>
      <c r="E271" s="20"/>
      <c r="F271" s="21"/>
    </row>
    <row r="272" ht="15.75" customHeight="1">
      <c r="D272" s="20"/>
      <c r="E272" s="20"/>
      <c r="F272" s="21"/>
    </row>
    <row r="273" ht="15.75" customHeight="1">
      <c r="D273" s="20"/>
      <c r="E273" s="20"/>
      <c r="F273" s="21"/>
    </row>
    <row r="274" ht="15.75" customHeight="1">
      <c r="D274" s="20"/>
      <c r="E274" s="20"/>
      <c r="F274" s="21"/>
    </row>
    <row r="275" ht="15.75" customHeight="1">
      <c r="D275" s="20"/>
      <c r="E275" s="20"/>
      <c r="F275" s="21"/>
    </row>
    <row r="276" ht="15.75" customHeight="1">
      <c r="D276" s="20"/>
      <c r="E276" s="20"/>
      <c r="F276" s="21"/>
    </row>
    <row r="277" ht="15.75" customHeight="1">
      <c r="D277" s="20"/>
      <c r="E277" s="20"/>
      <c r="F277" s="21"/>
    </row>
    <row r="278" ht="15.75" customHeight="1">
      <c r="D278" s="20"/>
      <c r="E278" s="20"/>
      <c r="F278" s="21"/>
    </row>
    <row r="279" ht="15.75" customHeight="1">
      <c r="D279" s="20"/>
      <c r="E279" s="20"/>
      <c r="F279" s="21"/>
    </row>
    <row r="280" ht="15.75" customHeight="1">
      <c r="D280" s="20"/>
      <c r="E280" s="20"/>
      <c r="F280" s="21"/>
    </row>
    <row r="281" ht="15.75" customHeight="1">
      <c r="D281" s="20"/>
      <c r="E281" s="20"/>
      <c r="F281" s="21"/>
    </row>
    <row r="282" ht="15.75" customHeight="1">
      <c r="D282" s="20"/>
      <c r="E282" s="20"/>
      <c r="F282" s="21"/>
    </row>
    <row r="283" ht="15.75" customHeight="1">
      <c r="D283" s="20"/>
      <c r="E283" s="20"/>
      <c r="F283" s="21"/>
    </row>
    <row r="284" ht="15.75" customHeight="1">
      <c r="D284" s="20"/>
      <c r="E284" s="20"/>
      <c r="F284" s="21"/>
    </row>
    <row r="285" ht="15.75" customHeight="1">
      <c r="D285" s="20"/>
      <c r="E285" s="20"/>
      <c r="F285" s="21"/>
    </row>
    <row r="286" ht="15.75" customHeight="1">
      <c r="D286" s="20"/>
      <c r="E286" s="20"/>
      <c r="F286" s="21"/>
    </row>
    <row r="287" ht="15.75" customHeight="1">
      <c r="D287" s="20"/>
      <c r="E287" s="20"/>
      <c r="F287" s="21"/>
    </row>
    <row r="288" ht="15.75" customHeight="1">
      <c r="D288" s="20"/>
      <c r="E288" s="20"/>
      <c r="F288" s="21"/>
    </row>
    <row r="289" ht="15.75" customHeight="1">
      <c r="D289" s="20"/>
      <c r="E289" s="20"/>
      <c r="F289" s="21"/>
    </row>
    <row r="290" ht="15.75" customHeight="1">
      <c r="D290" s="20"/>
      <c r="E290" s="20"/>
      <c r="F290" s="21"/>
    </row>
    <row r="291" ht="15.75" customHeight="1">
      <c r="D291" s="20"/>
      <c r="E291" s="20"/>
      <c r="F291" s="21"/>
    </row>
    <row r="292" ht="15.75" customHeight="1">
      <c r="D292" s="20"/>
      <c r="E292" s="20"/>
      <c r="F292" s="21"/>
    </row>
    <row r="293" ht="15.75" customHeight="1">
      <c r="D293" s="20"/>
      <c r="E293" s="20"/>
      <c r="F293" s="21"/>
    </row>
    <row r="294" ht="15.75" customHeight="1">
      <c r="D294" s="20"/>
      <c r="E294" s="20"/>
      <c r="F294" s="21"/>
    </row>
    <row r="295" ht="15.75" customHeight="1">
      <c r="D295" s="20"/>
      <c r="E295" s="20"/>
      <c r="F295" s="21"/>
    </row>
    <row r="296" ht="15.75" customHeight="1">
      <c r="D296" s="20"/>
      <c r="E296" s="20"/>
      <c r="F296" s="21"/>
    </row>
    <row r="297" ht="15.75" customHeight="1">
      <c r="D297" s="20"/>
      <c r="E297" s="20"/>
      <c r="F297" s="21"/>
    </row>
    <row r="298" ht="15.75" customHeight="1">
      <c r="D298" s="20"/>
      <c r="E298" s="20"/>
      <c r="F298" s="21"/>
    </row>
    <row r="299" ht="15.75" customHeight="1">
      <c r="D299" s="20"/>
      <c r="E299" s="20"/>
      <c r="F299" s="21"/>
    </row>
    <row r="300" ht="15.75" customHeight="1">
      <c r="D300" s="20"/>
      <c r="E300" s="20"/>
      <c r="F300" s="21"/>
    </row>
    <row r="301" ht="15.75" customHeight="1">
      <c r="D301" s="20"/>
      <c r="E301" s="20"/>
      <c r="F301" s="21"/>
    </row>
    <row r="302" ht="15.75" customHeight="1">
      <c r="D302" s="20"/>
      <c r="E302" s="20"/>
      <c r="F302" s="21"/>
    </row>
    <row r="303" ht="15.75" customHeight="1">
      <c r="D303" s="20"/>
      <c r="E303" s="20"/>
      <c r="F303" s="21"/>
    </row>
    <row r="304" ht="15.75" customHeight="1">
      <c r="D304" s="20"/>
      <c r="E304" s="20"/>
      <c r="F304" s="21"/>
    </row>
    <row r="305" ht="15.75" customHeight="1">
      <c r="D305" s="20"/>
      <c r="E305" s="20"/>
      <c r="F305" s="21"/>
    </row>
    <row r="306" ht="15.75" customHeight="1">
      <c r="D306" s="20"/>
      <c r="E306" s="20"/>
      <c r="F306" s="21"/>
    </row>
    <row r="307" ht="15.75" customHeight="1">
      <c r="D307" s="20"/>
      <c r="E307" s="20"/>
      <c r="F307" s="21"/>
    </row>
    <row r="308" ht="15.75" customHeight="1">
      <c r="D308" s="20"/>
      <c r="E308" s="20"/>
      <c r="F308" s="21"/>
    </row>
    <row r="309" ht="15.75" customHeight="1">
      <c r="D309" s="20"/>
      <c r="E309" s="20"/>
      <c r="F309" s="21"/>
    </row>
    <row r="310" ht="15.75" customHeight="1">
      <c r="D310" s="20"/>
      <c r="E310" s="20"/>
      <c r="F310" s="21"/>
    </row>
    <row r="311" ht="15.75" customHeight="1">
      <c r="D311" s="20"/>
      <c r="E311" s="20"/>
      <c r="F311" s="21"/>
    </row>
    <row r="312" ht="15.75" customHeight="1">
      <c r="D312" s="20"/>
      <c r="E312" s="20"/>
      <c r="F312" s="21"/>
    </row>
    <row r="313" ht="15.75" customHeight="1">
      <c r="D313" s="20"/>
      <c r="E313" s="20"/>
      <c r="F313" s="21"/>
    </row>
    <row r="314" ht="15.75" customHeight="1">
      <c r="D314" s="20"/>
      <c r="E314" s="20"/>
      <c r="F314" s="21"/>
    </row>
    <row r="315" ht="15.75" customHeight="1">
      <c r="D315" s="20"/>
      <c r="E315" s="20"/>
      <c r="F315" s="21"/>
    </row>
    <row r="316" ht="15.75" customHeight="1">
      <c r="D316" s="20"/>
      <c r="E316" s="20"/>
      <c r="F316" s="21"/>
    </row>
    <row r="317" ht="15.75" customHeight="1">
      <c r="D317" s="20"/>
      <c r="E317" s="20"/>
      <c r="F317" s="21"/>
    </row>
    <row r="318" ht="15.75" customHeight="1">
      <c r="D318" s="20"/>
      <c r="E318" s="20"/>
      <c r="F318" s="21"/>
    </row>
    <row r="319" ht="15.75" customHeight="1">
      <c r="D319" s="20"/>
      <c r="E319" s="20"/>
      <c r="F319" s="21"/>
    </row>
    <row r="320" ht="15.75" customHeight="1">
      <c r="D320" s="20"/>
      <c r="E320" s="20"/>
      <c r="F320" s="21"/>
    </row>
    <row r="321" ht="15.75" customHeight="1">
      <c r="D321" s="20"/>
      <c r="E321" s="20"/>
      <c r="F321" s="21"/>
    </row>
    <row r="322" ht="15.75" customHeight="1">
      <c r="D322" s="20"/>
      <c r="E322" s="20"/>
      <c r="F322" s="21"/>
    </row>
    <row r="323" ht="15.75" customHeight="1">
      <c r="D323" s="20"/>
      <c r="E323" s="20"/>
      <c r="F323" s="21"/>
    </row>
    <row r="324" ht="15.75" customHeight="1">
      <c r="D324" s="20"/>
      <c r="E324" s="20"/>
      <c r="F324" s="21"/>
    </row>
    <row r="325" ht="15.75" customHeight="1">
      <c r="D325" s="20"/>
      <c r="E325" s="20"/>
      <c r="F325" s="21"/>
    </row>
    <row r="326" ht="15.75" customHeight="1">
      <c r="D326" s="20"/>
      <c r="E326" s="20"/>
      <c r="F326" s="21"/>
    </row>
    <row r="327" ht="15.75" customHeight="1">
      <c r="D327" s="20"/>
      <c r="E327" s="20"/>
      <c r="F327" s="21"/>
    </row>
    <row r="328" ht="15.75" customHeight="1">
      <c r="D328" s="20"/>
      <c r="E328" s="20"/>
      <c r="F328" s="21"/>
    </row>
    <row r="329" ht="15.75" customHeight="1">
      <c r="D329" s="20"/>
      <c r="E329" s="20"/>
      <c r="F329" s="21"/>
    </row>
    <row r="330" ht="15.75" customHeight="1">
      <c r="D330" s="20"/>
      <c r="E330" s="20"/>
      <c r="F330" s="21"/>
    </row>
    <row r="331" ht="15.75" customHeight="1">
      <c r="D331" s="20"/>
      <c r="E331" s="20"/>
      <c r="F331" s="21"/>
    </row>
    <row r="332" ht="15.75" customHeight="1">
      <c r="D332" s="20"/>
      <c r="E332" s="20"/>
      <c r="F332" s="21"/>
    </row>
    <row r="333" ht="15.75" customHeight="1">
      <c r="D333" s="20"/>
      <c r="E333" s="20"/>
      <c r="F333" s="21"/>
    </row>
    <row r="334" ht="15.75" customHeight="1">
      <c r="D334" s="20"/>
      <c r="E334" s="20"/>
      <c r="F334" s="21"/>
    </row>
    <row r="335" ht="15.75" customHeight="1">
      <c r="D335" s="20"/>
      <c r="E335" s="20"/>
      <c r="F335" s="21"/>
    </row>
    <row r="336" ht="15.75" customHeight="1">
      <c r="D336" s="20"/>
      <c r="E336" s="20"/>
      <c r="F336" s="21"/>
    </row>
    <row r="337" ht="15.75" customHeight="1">
      <c r="D337" s="20"/>
      <c r="E337" s="20"/>
      <c r="F337" s="21"/>
    </row>
    <row r="338" ht="15.75" customHeight="1">
      <c r="D338" s="20"/>
      <c r="E338" s="20"/>
      <c r="F338" s="21"/>
    </row>
    <row r="339" ht="15.75" customHeight="1">
      <c r="D339" s="20"/>
      <c r="E339" s="20"/>
      <c r="F339" s="21"/>
    </row>
    <row r="340" ht="15.75" customHeight="1">
      <c r="D340" s="20"/>
      <c r="E340" s="20"/>
      <c r="F340" s="21"/>
    </row>
    <row r="341" ht="15.75" customHeight="1">
      <c r="D341" s="20"/>
      <c r="E341" s="20"/>
      <c r="F341" s="21"/>
    </row>
    <row r="342" ht="15.75" customHeight="1">
      <c r="D342" s="20"/>
      <c r="E342" s="20"/>
      <c r="F342" s="21"/>
    </row>
    <row r="343" ht="15.75" customHeight="1">
      <c r="D343" s="20"/>
      <c r="E343" s="20"/>
      <c r="F343" s="21"/>
    </row>
    <row r="344" ht="15.75" customHeight="1">
      <c r="D344" s="20"/>
      <c r="E344" s="20"/>
      <c r="F344" s="21"/>
    </row>
    <row r="345" ht="15.75" customHeight="1">
      <c r="D345" s="20"/>
      <c r="E345" s="20"/>
      <c r="F345" s="21"/>
    </row>
    <row r="346" ht="15.75" customHeight="1">
      <c r="D346" s="20"/>
      <c r="E346" s="20"/>
      <c r="F346" s="21"/>
    </row>
    <row r="347" ht="15.75" customHeight="1">
      <c r="D347" s="20"/>
      <c r="E347" s="20"/>
      <c r="F347" s="21"/>
    </row>
    <row r="348" ht="15.75" customHeight="1">
      <c r="D348" s="20"/>
      <c r="E348" s="20"/>
      <c r="F348" s="21"/>
    </row>
    <row r="349" ht="15.75" customHeight="1">
      <c r="D349" s="20"/>
      <c r="E349" s="20"/>
      <c r="F349" s="21"/>
    </row>
    <row r="350" ht="15.75" customHeight="1">
      <c r="D350" s="20"/>
      <c r="E350" s="20"/>
      <c r="F350" s="21"/>
    </row>
    <row r="351" ht="15.75" customHeight="1">
      <c r="D351" s="20"/>
      <c r="E351" s="20"/>
      <c r="F351" s="21"/>
    </row>
    <row r="352" ht="15.75" customHeight="1">
      <c r="D352" s="20"/>
      <c r="E352" s="20"/>
      <c r="F352" s="21"/>
    </row>
    <row r="353" ht="15.75" customHeight="1">
      <c r="D353" s="20"/>
      <c r="E353" s="20"/>
      <c r="F353" s="21"/>
    </row>
    <row r="354" ht="15.75" customHeight="1">
      <c r="D354" s="20"/>
      <c r="E354" s="20"/>
      <c r="F354" s="21"/>
    </row>
    <row r="355" ht="15.75" customHeight="1">
      <c r="D355" s="20"/>
      <c r="E355" s="20"/>
      <c r="F355" s="21"/>
    </row>
    <row r="356" ht="15.75" customHeight="1">
      <c r="D356" s="20"/>
      <c r="E356" s="20"/>
      <c r="F356" s="21"/>
    </row>
    <row r="357" ht="15.75" customHeight="1">
      <c r="D357" s="20"/>
      <c r="E357" s="20"/>
      <c r="F357" s="21"/>
    </row>
    <row r="358" ht="15.75" customHeight="1">
      <c r="D358" s="20"/>
      <c r="E358" s="20"/>
      <c r="F358" s="21"/>
    </row>
    <row r="359" ht="15.75" customHeight="1">
      <c r="D359" s="20"/>
      <c r="E359" s="20"/>
      <c r="F359" s="21"/>
    </row>
    <row r="360" ht="15.75" customHeight="1">
      <c r="D360" s="20"/>
      <c r="E360" s="20"/>
      <c r="F360" s="21"/>
    </row>
    <row r="361" ht="15.75" customHeight="1">
      <c r="D361" s="20"/>
      <c r="E361" s="20"/>
      <c r="F361" s="21"/>
    </row>
    <row r="362" ht="15.75" customHeight="1">
      <c r="D362" s="20"/>
      <c r="E362" s="20"/>
      <c r="F362" s="21"/>
    </row>
    <row r="363" ht="15.75" customHeight="1">
      <c r="D363" s="20"/>
      <c r="E363" s="20"/>
      <c r="F363" s="21"/>
    </row>
    <row r="364" ht="15.75" customHeight="1">
      <c r="D364" s="20"/>
      <c r="E364" s="20"/>
      <c r="F364" s="21"/>
    </row>
    <row r="365" ht="15.75" customHeight="1">
      <c r="D365" s="20"/>
      <c r="E365" s="20"/>
      <c r="F365" s="21"/>
    </row>
    <row r="366" ht="15.75" customHeight="1">
      <c r="D366" s="20"/>
      <c r="E366" s="20"/>
      <c r="F366" s="21"/>
    </row>
    <row r="367" ht="15.75" customHeight="1">
      <c r="D367" s="20"/>
      <c r="E367" s="20"/>
      <c r="F367" s="21"/>
    </row>
    <row r="368" ht="15.75" customHeight="1">
      <c r="D368" s="20"/>
      <c r="E368" s="20"/>
      <c r="F368" s="21"/>
    </row>
    <row r="369" ht="15.75" customHeight="1">
      <c r="D369" s="20"/>
      <c r="E369" s="20"/>
      <c r="F369" s="21"/>
    </row>
    <row r="370" ht="15.75" customHeight="1">
      <c r="D370" s="20"/>
      <c r="E370" s="20"/>
      <c r="F370" s="21"/>
    </row>
    <row r="371" ht="15.75" customHeight="1">
      <c r="D371" s="20"/>
      <c r="E371" s="20"/>
      <c r="F371" s="21"/>
    </row>
    <row r="372" ht="15.75" customHeight="1">
      <c r="D372" s="20"/>
      <c r="E372" s="20"/>
      <c r="F372" s="21"/>
    </row>
    <row r="373" ht="15.75" customHeight="1">
      <c r="D373" s="20"/>
      <c r="E373" s="20"/>
      <c r="F373" s="21"/>
    </row>
    <row r="374" ht="15.75" customHeight="1">
      <c r="D374" s="20"/>
      <c r="E374" s="20"/>
      <c r="F374" s="21"/>
    </row>
    <row r="375" ht="15.75" customHeight="1">
      <c r="D375" s="20"/>
      <c r="E375" s="20"/>
      <c r="F375" s="21"/>
    </row>
    <row r="376" ht="15.75" customHeight="1">
      <c r="D376" s="20"/>
      <c r="E376" s="20"/>
      <c r="F376" s="21"/>
    </row>
    <row r="377" ht="15.75" customHeight="1">
      <c r="D377" s="20"/>
      <c r="E377" s="20"/>
      <c r="F377" s="21"/>
    </row>
    <row r="378" ht="15.75" customHeight="1">
      <c r="D378" s="20"/>
      <c r="E378" s="20"/>
      <c r="F378" s="21"/>
    </row>
    <row r="379" ht="15.75" customHeight="1">
      <c r="D379" s="20"/>
      <c r="E379" s="20"/>
      <c r="F379" s="21"/>
    </row>
    <row r="380" ht="15.75" customHeight="1">
      <c r="D380" s="20"/>
      <c r="E380" s="20"/>
      <c r="F380" s="21"/>
    </row>
    <row r="381" ht="15.75" customHeight="1">
      <c r="D381" s="20"/>
      <c r="E381" s="20"/>
      <c r="F381" s="21"/>
    </row>
    <row r="382" ht="15.75" customHeight="1">
      <c r="D382" s="20"/>
      <c r="E382" s="20"/>
      <c r="F382" s="21"/>
    </row>
    <row r="383" ht="15.75" customHeight="1">
      <c r="D383" s="20"/>
      <c r="E383" s="20"/>
      <c r="F383" s="21"/>
    </row>
    <row r="384" ht="15.75" customHeight="1">
      <c r="D384" s="20"/>
      <c r="E384" s="20"/>
      <c r="F384" s="21"/>
    </row>
    <row r="385" ht="15.75" customHeight="1">
      <c r="D385" s="20"/>
      <c r="E385" s="20"/>
      <c r="F385" s="21"/>
    </row>
    <row r="386" ht="15.75" customHeight="1">
      <c r="D386" s="20"/>
      <c r="E386" s="20"/>
      <c r="F386" s="21"/>
    </row>
    <row r="387" ht="15.75" customHeight="1">
      <c r="D387" s="20"/>
      <c r="E387" s="20"/>
      <c r="F387" s="21"/>
    </row>
    <row r="388" ht="15.75" customHeight="1">
      <c r="D388" s="20"/>
      <c r="E388" s="20"/>
      <c r="F388" s="21"/>
    </row>
    <row r="389" ht="15.75" customHeight="1">
      <c r="D389" s="20"/>
      <c r="E389" s="20"/>
      <c r="F389" s="21"/>
    </row>
    <row r="390" ht="15.75" customHeight="1">
      <c r="D390" s="20"/>
      <c r="E390" s="20"/>
      <c r="F390" s="21"/>
    </row>
    <row r="391" ht="15.75" customHeight="1">
      <c r="D391" s="20"/>
      <c r="E391" s="20"/>
      <c r="F391" s="21"/>
    </row>
    <row r="392" ht="15.75" customHeight="1">
      <c r="D392" s="20"/>
      <c r="E392" s="20"/>
      <c r="F392" s="21"/>
    </row>
    <row r="393" ht="15.75" customHeight="1">
      <c r="D393" s="20"/>
      <c r="E393" s="20"/>
      <c r="F393" s="21"/>
    </row>
    <row r="394" ht="15.75" customHeight="1">
      <c r="D394" s="20"/>
      <c r="E394" s="20"/>
      <c r="F394" s="21"/>
    </row>
    <row r="395" ht="15.75" customHeight="1">
      <c r="D395" s="20"/>
      <c r="E395" s="20"/>
      <c r="F395" s="21"/>
    </row>
    <row r="396" ht="15.75" customHeight="1">
      <c r="D396" s="20"/>
      <c r="E396" s="20"/>
      <c r="F396" s="21"/>
    </row>
    <row r="397" ht="15.75" customHeight="1">
      <c r="D397" s="20"/>
      <c r="E397" s="20"/>
      <c r="F397" s="21"/>
    </row>
    <row r="398" ht="15.75" customHeight="1">
      <c r="D398" s="20"/>
      <c r="E398" s="20"/>
      <c r="F398" s="21"/>
    </row>
    <row r="399" ht="15.75" customHeight="1">
      <c r="D399" s="20"/>
      <c r="E399" s="20"/>
      <c r="F399" s="21"/>
    </row>
    <row r="400" ht="15.75" customHeight="1">
      <c r="D400" s="20"/>
      <c r="E400" s="20"/>
      <c r="F400" s="21"/>
    </row>
    <row r="401" ht="15.75" customHeight="1">
      <c r="D401" s="20"/>
      <c r="E401" s="20"/>
      <c r="F401" s="21"/>
    </row>
    <row r="402" ht="15.75" customHeight="1">
      <c r="D402" s="20"/>
      <c r="E402" s="20"/>
      <c r="F402" s="21"/>
    </row>
    <row r="403" ht="15.75" customHeight="1">
      <c r="D403" s="20"/>
      <c r="E403" s="20"/>
      <c r="F403" s="21"/>
    </row>
    <row r="404" ht="15.75" customHeight="1">
      <c r="D404" s="20"/>
      <c r="E404" s="20"/>
      <c r="F404" s="21"/>
    </row>
    <row r="405" ht="15.75" customHeight="1">
      <c r="D405" s="20"/>
      <c r="E405" s="20"/>
      <c r="F405" s="21"/>
    </row>
    <row r="406" ht="15.75" customHeight="1">
      <c r="D406" s="20"/>
      <c r="E406" s="20"/>
      <c r="F406" s="21"/>
    </row>
    <row r="407" ht="15.75" customHeight="1">
      <c r="D407" s="20"/>
      <c r="E407" s="20"/>
      <c r="F407" s="21"/>
    </row>
    <row r="408" ht="15.75" customHeight="1">
      <c r="D408" s="20"/>
      <c r="E408" s="20"/>
      <c r="F408" s="21"/>
    </row>
    <row r="409" ht="15.75" customHeight="1">
      <c r="D409" s="20"/>
      <c r="E409" s="20"/>
      <c r="F409" s="21"/>
    </row>
    <row r="410" ht="15.75" customHeight="1">
      <c r="D410" s="20"/>
      <c r="E410" s="20"/>
      <c r="F410" s="21"/>
    </row>
    <row r="411" ht="15.75" customHeight="1">
      <c r="D411" s="20"/>
      <c r="E411" s="20"/>
      <c r="F411" s="21"/>
    </row>
    <row r="412" ht="15.75" customHeight="1">
      <c r="D412" s="20"/>
      <c r="E412" s="20"/>
      <c r="F412" s="21"/>
    </row>
    <row r="413" ht="15.75" customHeight="1">
      <c r="D413" s="20"/>
      <c r="E413" s="20"/>
      <c r="F413" s="21"/>
    </row>
    <row r="414" ht="15.75" customHeight="1">
      <c r="D414" s="20"/>
      <c r="E414" s="20"/>
      <c r="F414" s="21"/>
    </row>
    <row r="415" ht="15.75" customHeight="1">
      <c r="D415" s="20"/>
      <c r="E415" s="20"/>
      <c r="F415" s="21"/>
    </row>
    <row r="416" ht="15.75" customHeight="1">
      <c r="D416" s="20"/>
      <c r="E416" s="20"/>
      <c r="F416" s="21"/>
    </row>
    <row r="417" ht="15.75" customHeight="1">
      <c r="D417" s="20"/>
      <c r="E417" s="20"/>
      <c r="F417" s="21"/>
    </row>
    <row r="418" ht="15.75" customHeight="1">
      <c r="D418" s="20"/>
      <c r="E418" s="20"/>
      <c r="F418" s="21"/>
    </row>
    <row r="419" ht="15.75" customHeight="1">
      <c r="D419" s="20"/>
      <c r="E419" s="20"/>
      <c r="F419" s="21"/>
    </row>
    <row r="420" ht="15.75" customHeight="1">
      <c r="D420" s="20"/>
      <c r="E420" s="20"/>
      <c r="F420" s="21"/>
    </row>
    <row r="421" ht="15.75" customHeight="1">
      <c r="D421" s="20"/>
      <c r="E421" s="20"/>
      <c r="F421" s="21"/>
    </row>
    <row r="422" ht="15.75" customHeight="1">
      <c r="D422" s="20"/>
      <c r="E422" s="20"/>
      <c r="F422" s="21"/>
    </row>
    <row r="423" ht="15.75" customHeight="1">
      <c r="D423" s="20"/>
      <c r="E423" s="20"/>
      <c r="F423" s="21"/>
    </row>
    <row r="424" ht="15.75" customHeight="1">
      <c r="D424" s="20"/>
      <c r="E424" s="20"/>
      <c r="F424" s="21"/>
    </row>
    <row r="425" ht="15.75" customHeight="1">
      <c r="D425" s="20"/>
      <c r="E425" s="20"/>
      <c r="F425" s="21"/>
    </row>
    <row r="426" ht="15.75" customHeight="1">
      <c r="D426" s="20"/>
      <c r="E426" s="20"/>
      <c r="F426" s="21"/>
    </row>
    <row r="427" ht="15.75" customHeight="1">
      <c r="D427" s="20"/>
      <c r="E427" s="20"/>
      <c r="F427" s="21"/>
    </row>
    <row r="428" ht="15.75" customHeight="1">
      <c r="D428" s="20"/>
      <c r="E428" s="20"/>
      <c r="F428" s="21"/>
    </row>
    <row r="429" ht="15.75" customHeight="1">
      <c r="D429" s="20"/>
      <c r="E429" s="20"/>
      <c r="F429" s="21"/>
    </row>
    <row r="430" ht="15.75" customHeight="1">
      <c r="D430" s="20"/>
      <c r="E430" s="20"/>
      <c r="F430" s="21"/>
    </row>
    <row r="431" ht="15.75" customHeight="1">
      <c r="D431" s="20"/>
      <c r="E431" s="20"/>
      <c r="F431" s="21"/>
    </row>
    <row r="432" ht="15.75" customHeight="1">
      <c r="D432" s="20"/>
      <c r="E432" s="20"/>
      <c r="F432" s="21"/>
    </row>
    <row r="433" ht="15.75" customHeight="1">
      <c r="D433" s="20"/>
      <c r="E433" s="20"/>
      <c r="F433" s="21"/>
    </row>
    <row r="434" ht="15.75" customHeight="1">
      <c r="D434" s="20"/>
      <c r="E434" s="20"/>
      <c r="F434" s="21"/>
    </row>
    <row r="435" ht="15.75" customHeight="1">
      <c r="D435" s="20"/>
      <c r="E435" s="20"/>
      <c r="F435" s="21"/>
    </row>
    <row r="436" ht="15.75" customHeight="1">
      <c r="D436" s="20"/>
      <c r="E436" s="20"/>
      <c r="F436" s="21"/>
    </row>
    <row r="437" ht="15.75" customHeight="1">
      <c r="D437" s="20"/>
      <c r="E437" s="20"/>
      <c r="F437" s="21"/>
    </row>
    <row r="438" ht="15.75" customHeight="1">
      <c r="D438" s="20"/>
      <c r="E438" s="20"/>
      <c r="F438" s="21"/>
    </row>
    <row r="439" ht="15.75" customHeight="1">
      <c r="D439" s="20"/>
      <c r="E439" s="20"/>
      <c r="F439" s="21"/>
    </row>
    <row r="440" ht="15.75" customHeight="1">
      <c r="D440" s="20"/>
      <c r="E440" s="20"/>
      <c r="F440" s="21"/>
    </row>
    <row r="441" ht="15.75" customHeight="1">
      <c r="D441" s="20"/>
      <c r="E441" s="20"/>
      <c r="F441" s="21"/>
    </row>
    <row r="442" ht="15.75" customHeight="1">
      <c r="D442" s="20"/>
      <c r="E442" s="20"/>
      <c r="F442" s="21"/>
    </row>
    <row r="443" ht="15.75" customHeight="1">
      <c r="D443" s="20"/>
      <c r="E443" s="20"/>
      <c r="F443" s="21"/>
    </row>
    <row r="444" ht="15.75" customHeight="1">
      <c r="D444" s="20"/>
      <c r="E444" s="20"/>
      <c r="F444" s="21"/>
    </row>
    <row r="445" ht="15.75" customHeight="1">
      <c r="D445" s="20"/>
      <c r="E445" s="20"/>
      <c r="F445" s="21"/>
    </row>
    <row r="446" ht="15.75" customHeight="1">
      <c r="D446" s="20"/>
      <c r="E446" s="20"/>
      <c r="F446" s="21"/>
    </row>
    <row r="447" ht="15.75" customHeight="1">
      <c r="D447" s="20"/>
      <c r="E447" s="20"/>
      <c r="F447" s="21"/>
    </row>
    <row r="448" ht="15.75" customHeight="1">
      <c r="D448" s="20"/>
      <c r="E448" s="20"/>
      <c r="F448" s="21"/>
    </row>
    <row r="449" ht="15.75" customHeight="1">
      <c r="D449" s="20"/>
      <c r="E449" s="20"/>
      <c r="F449" s="21"/>
    </row>
    <row r="450" ht="15.75" customHeight="1">
      <c r="D450" s="20"/>
      <c r="E450" s="20"/>
      <c r="F450" s="21"/>
    </row>
    <row r="451" ht="15.75" customHeight="1">
      <c r="D451" s="20"/>
      <c r="E451" s="20"/>
      <c r="F451" s="21"/>
    </row>
    <row r="452" ht="15.75" customHeight="1">
      <c r="D452" s="20"/>
      <c r="E452" s="20"/>
      <c r="F452" s="21"/>
    </row>
    <row r="453" ht="15.75" customHeight="1">
      <c r="D453" s="20"/>
      <c r="E453" s="20"/>
      <c r="F453" s="21"/>
    </row>
    <row r="454" ht="15.75" customHeight="1">
      <c r="D454" s="20"/>
      <c r="E454" s="20"/>
      <c r="F454" s="21"/>
    </row>
    <row r="455" ht="15.75" customHeight="1">
      <c r="D455" s="20"/>
      <c r="E455" s="20"/>
      <c r="F455" s="21"/>
    </row>
    <row r="456" ht="15.75" customHeight="1">
      <c r="D456" s="20"/>
      <c r="E456" s="20"/>
      <c r="F456" s="21"/>
    </row>
    <row r="457" ht="15.75" customHeight="1">
      <c r="D457" s="20"/>
      <c r="E457" s="20"/>
      <c r="F457" s="21"/>
    </row>
    <row r="458" ht="15.75" customHeight="1">
      <c r="D458" s="20"/>
      <c r="E458" s="20"/>
      <c r="F458" s="21"/>
    </row>
    <row r="459" ht="15.75" customHeight="1">
      <c r="D459" s="20"/>
      <c r="E459" s="20"/>
      <c r="F459" s="21"/>
    </row>
    <row r="460" ht="15.75" customHeight="1">
      <c r="D460" s="20"/>
      <c r="E460" s="20"/>
      <c r="F460" s="21"/>
    </row>
    <row r="461" ht="15.75" customHeight="1">
      <c r="D461" s="20"/>
      <c r="E461" s="20"/>
      <c r="F461" s="21"/>
    </row>
    <row r="462" ht="15.75" customHeight="1">
      <c r="D462" s="20"/>
      <c r="E462" s="20"/>
      <c r="F462" s="21"/>
    </row>
    <row r="463" ht="15.75" customHeight="1">
      <c r="D463" s="20"/>
      <c r="E463" s="20"/>
      <c r="F463" s="21"/>
    </row>
    <row r="464" ht="15.75" customHeight="1">
      <c r="D464" s="20"/>
      <c r="E464" s="20"/>
      <c r="F464" s="21"/>
    </row>
    <row r="465" ht="15.75" customHeight="1">
      <c r="D465" s="20"/>
      <c r="E465" s="20"/>
      <c r="F465" s="21"/>
    </row>
    <row r="466" ht="15.75" customHeight="1">
      <c r="D466" s="20"/>
      <c r="E466" s="20"/>
      <c r="F466" s="21"/>
    </row>
    <row r="467" ht="15.75" customHeight="1">
      <c r="D467" s="20"/>
      <c r="E467" s="20"/>
      <c r="F467" s="21"/>
    </row>
    <row r="468" ht="15.75" customHeight="1">
      <c r="D468" s="20"/>
      <c r="E468" s="20"/>
      <c r="F468" s="21"/>
    </row>
    <row r="469" ht="15.75" customHeight="1">
      <c r="D469" s="20"/>
      <c r="E469" s="20"/>
      <c r="F469" s="21"/>
    </row>
    <row r="470" ht="15.75" customHeight="1">
      <c r="D470" s="20"/>
      <c r="E470" s="20"/>
      <c r="F470" s="21"/>
    </row>
    <row r="471" ht="15.75" customHeight="1">
      <c r="D471" s="20"/>
      <c r="E471" s="20"/>
      <c r="F471" s="21"/>
    </row>
    <row r="472" ht="15.75" customHeight="1">
      <c r="D472" s="20"/>
      <c r="E472" s="20"/>
      <c r="F472" s="21"/>
    </row>
    <row r="473" ht="15.75" customHeight="1">
      <c r="D473" s="20"/>
      <c r="E473" s="20"/>
      <c r="F473" s="21"/>
    </row>
    <row r="474" ht="15.75" customHeight="1">
      <c r="D474" s="20"/>
      <c r="E474" s="20"/>
      <c r="F474" s="21"/>
    </row>
    <row r="475" ht="15.75" customHeight="1">
      <c r="D475" s="20"/>
      <c r="E475" s="20"/>
      <c r="F475" s="21"/>
    </row>
    <row r="476" ht="15.75" customHeight="1">
      <c r="D476" s="20"/>
      <c r="E476" s="20"/>
      <c r="F476" s="21"/>
    </row>
    <row r="477" ht="15.75" customHeight="1">
      <c r="D477" s="20"/>
      <c r="E477" s="20"/>
      <c r="F477" s="21"/>
    </row>
    <row r="478" ht="15.75" customHeight="1">
      <c r="D478" s="20"/>
      <c r="E478" s="20"/>
      <c r="F478" s="21"/>
    </row>
    <row r="479" ht="15.75" customHeight="1">
      <c r="D479" s="20"/>
      <c r="E479" s="20"/>
      <c r="F479" s="21"/>
    </row>
    <row r="480" ht="15.75" customHeight="1">
      <c r="D480" s="20"/>
      <c r="E480" s="20"/>
      <c r="F480" s="21"/>
    </row>
    <row r="481" ht="15.75" customHeight="1">
      <c r="D481" s="20"/>
      <c r="E481" s="20"/>
      <c r="F481" s="21"/>
    </row>
    <row r="482" ht="15.75" customHeight="1">
      <c r="D482" s="20"/>
      <c r="E482" s="20"/>
      <c r="F482" s="21"/>
    </row>
    <row r="483" ht="15.75" customHeight="1">
      <c r="D483" s="20"/>
      <c r="E483" s="20"/>
      <c r="F483" s="21"/>
    </row>
    <row r="484" ht="15.75" customHeight="1">
      <c r="D484" s="20"/>
      <c r="E484" s="20"/>
      <c r="F484" s="21"/>
    </row>
    <row r="485" ht="15.75" customHeight="1">
      <c r="D485" s="20"/>
      <c r="E485" s="20"/>
      <c r="F485" s="21"/>
    </row>
    <row r="486" ht="15.75" customHeight="1">
      <c r="D486" s="20"/>
      <c r="E486" s="20"/>
      <c r="F486" s="21"/>
    </row>
    <row r="487" ht="15.75" customHeight="1">
      <c r="D487" s="20"/>
      <c r="E487" s="20"/>
      <c r="F487" s="21"/>
    </row>
    <row r="488" ht="15.75" customHeight="1">
      <c r="D488" s="20"/>
      <c r="E488" s="20"/>
      <c r="F488" s="21"/>
    </row>
    <row r="489" ht="15.75" customHeight="1">
      <c r="D489" s="20"/>
      <c r="E489" s="20"/>
      <c r="F489" s="21"/>
    </row>
    <row r="490" ht="15.75" customHeight="1">
      <c r="D490" s="20"/>
      <c r="E490" s="20"/>
      <c r="F490" s="21"/>
    </row>
    <row r="491" ht="15.75" customHeight="1">
      <c r="D491" s="20"/>
      <c r="E491" s="20"/>
      <c r="F491" s="21"/>
    </row>
    <row r="492" ht="15.75" customHeight="1">
      <c r="D492" s="20"/>
      <c r="E492" s="20"/>
      <c r="F492" s="21"/>
    </row>
    <row r="493" ht="15.75" customHeight="1">
      <c r="D493" s="20"/>
      <c r="E493" s="20"/>
      <c r="F493" s="21"/>
    </row>
    <row r="494" ht="15.75" customHeight="1">
      <c r="D494" s="20"/>
      <c r="E494" s="20"/>
      <c r="F494" s="21"/>
    </row>
    <row r="495" ht="15.75" customHeight="1">
      <c r="D495" s="20"/>
      <c r="E495" s="20"/>
      <c r="F495" s="21"/>
    </row>
    <row r="496" ht="15.75" customHeight="1">
      <c r="D496" s="20"/>
      <c r="E496" s="20"/>
      <c r="F496" s="21"/>
    </row>
    <row r="497" ht="15.75" customHeight="1">
      <c r="D497" s="20"/>
      <c r="E497" s="20"/>
      <c r="F497" s="21"/>
    </row>
    <row r="498" ht="15.75" customHeight="1">
      <c r="D498" s="20"/>
      <c r="E498" s="20"/>
      <c r="F498" s="21"/>
    </row>
    <row r="499" ht="15.75" customHeight="1">
      <c r="D499" s="20"/>
      <c r="E499" s="20"/>
      <c r="F499" s="21"/>
    </row>
    <row r="500" ht="15.75" customHeight="1">
      <c r="D500" s="20"/>
      <c r="E500" s="20"/>
      <c r="F500" s="21"/>
    </row>
    <row r="501" ht="15.75" customHeight="1">
      <c r="D501" s="20"/>
      <c r="E501" s="20"/>
      <c r="F501" s="21"/>
    </row>
    <row r="502" ht="15.75" customHeight="1">
      <c r="D502" s="20"/>
      <c r="E502" s="20"/>
      <c r="F502" s="21"/>
    </row>
    <row r="503" ht="15.75" customHeight="1">
      <c r="D503" s="20"/>
      <c r="E503" s="20"/>
      <c r="F503" s="21"/>
    </row>
    <row r="504" ht="15.75" customHeight="1">
      <c r="D504" s="20"/>
      <c r="E504" s="20"/>
      <c r="F504" s="21"/>
    </row>
    <row r="505" ht="15.75" customHeight="1">
      <c r="D505" s="20"/>
      <c r="E505" s="20"/>
      <c r="F505" s="21"/>
    </row>
    <row r="506" ht="15.75" customHeight="1">
      <c r="D506" s="20"/>
      <c r="E506" s="20"/>
      <c r="F506" s="21"/>
    </row>
    <row r="507" ht="15.75" customHeight="1">
      <c r="D507" s="20"/>
      <c r="E507" s="20"/>
      <c r="F507" s="21"/>
    </row>
    <row r="508" ht="15.75" customHeight="1">
      <c r="D508" s="20"/>
      <c r="E508" s="20"/>
      <c r="F508" s="21"/>
    </row>
    <row r="509" ht="15.75" customHeight="1">
      <c r="D509" s="20"/>
      <c r="E509" s="20"/>
      <c r="F509" s="21"/>
    </row>
    <row r="510" ht="15.75" customHeight="1">
      <c r="D510" s="20"/>
      <c r="E510" s="20"/>
      <c r="F510" s="21"/>
    </row>
    <row r="511" ht="15.75" customHeight="1">
      <c r="D511" s="20"/>
      <c r="E511" s="20"/>
      <c r="F511" s="21"/>
    </row>
    <row r="512" ht="15.75" customHeight="1">
      <c r="D512" s="20"/>
      <c r="E512" s="20"/>
      <c r="F512" s="21"/>
    </row>
    <row r="513" ht="15.75" customHeight="1">
      <c r="D513" s="20"/>
      <c r="E513" s="20"/>
      <c r="F513" s="21"/>
    </row>
    <row r="514" ht="15.75" customHeight="1">
      <c r="D514" s="20"/>
      <c r="E514" s="20"/>
      <c r="F514" s="21"/>
    </row>
    <row r="515" ht="15.75" customHeight="1">
      <c r="D515" s="20"/>
      <c r="E515" s="20"/>
      <c r="F515" s="21"/>
    </row>
    <row r="516" ht="15.75" customHeight="1">
      <c r="D516" s="20"/>
      <c r="E516" s="20"/>
      <c r="F516" s="21"/>
    </row>
    <row r="517" ht="15.75" customHeight="1">
      <c r="D517" s="20"/>
      <c r="E517" s="20"/>
      <c r="F517" s="21"/>
    </row>
    <row r="518" ht="15.75" customHeight="1">
      <c r="D518" s="20"/>
      <c r="E518" s="20"/>
      <c r="F518" s="21"/>
    </row>
    <row r="519" ht="15.75" customHeight="1">
      <c r="D519" s="20"/>
      <c r="E519" s="20"/>
      <c r="F519" s="21"/>
    </row>
    <row r="520" ht="15.75" customHeight="1">
      <c r="D520" s="20"/>
      <c r="E520" s="20"/>
      <c r="F520" s="21"/>
    </row>
    <row r="521" ht="15.75" customHeight="1">
      <c r="D521" s="20"/>
      <c r="E521" s="20"/>
      <c r="F521" s="21"/>
    </row>
    <row r="522" ht="15.75" customHeight="1">
      <c r="D522" s="20"/>
      <c r="E522" s="20"/>
      <c r="F522" s="21"/>
    </row>
    <row r="523" ht="15.75" customHeight="1">
      <c r="D523" s="20"/>
      <c r="E523" s="20"/>
      <c r="F523" s="21"/>
    </row>
    <row r="524" ht="15.75" customHeight="1">
      <c r="D524" s="20"/>
      <c r="E524" s="20"/>
      <c r="F524" s="21"/>
    </row>
    <row r="525" ht="15.75" customHeight="1">
      <c r="D525" s="20"/>
      <c r="E525" s="20"/>
      <c r="F525" s="21"/>
    </row>
    <row r="526" ht="15.75" customHeight="1">
      <c r="D526" s="20"/>
      <c r="E526" s="20"/>
      <c r="F526" s="21"/>
    </row>
    <row r="527" ht="15.75" customHeight="1">
      <c r="D527" s="20"/>
      <c r="E527" s="20"/>
      <c r="F527" s="21"/>
    </row>
    <row r="528" ht="15.75" customHeight="1">
      <c r="D528" s="20"/>
      <c r="E528" s="20"/>
      <c r="F528" s="21"/>
    </row>
    <row r="529" ht="15.75" customHeight="1">
      <c r="D529" s="20"/>
      <c r="E529" s="20"/>
      <c r="F529" s="21"/>
    </row>
    <row r="530" ht="15.75" customHeight="1">
      <c r="D530" s="20"/>
      <c r="E530" s="20"/>
      <c r="F530" s="21"/>
    </row>
    <row r="531" ht="15.75" customHeight="1">
      <c r="D531" s="20"/>
      <c r="E531" s="20"/>
      <c r="F531" s="21"/>
    </row>
    <row r="532" ht="15.75" customHeight="1">
      <c r="D532" s="20"/>
      <c r="E532" s="20"/>
      <c r="F532" s="21"/>
    </row>
    <row r="533" ht="15.75" customHeight="1">
      <c r="D533" s="20"/>
      <c r="E533" s="20"/>
      <c r="F533" s="21"/>
    </row>
    <row r="534" ht="15.75" customHeight="1">
      <c r="D534" s="20"/>
      <c r="E534" s="20"/>
      <c r="F534" s="21"/>
    </row>
    <row r="535" ht="15.75" customHeight="1">
      <c r="D535" s="20"/>
      <c r="E535" s="20"/>
      <c r="F535" s="21"/>
    </row>
    <row r="536" ht="15.75" customHeight="1">
      <c r="D536" s="20"/>
      <c r="E536" s="20"/>
      <c r="F536" s="21"/>
    </row>
    <row r="537" ht="15.75" customHeight="1">
      <c r="D537" s="20"/>
      <c r="E537" s="20"/>
      <c r="F537" s="21"/>
    </row>
    <row r="538" ht="15.75" customHeight="1">
      <c r="D538" s="20"/>
      <c r="E538" s="20"/>
      <c r="F538" s="21"/>
    </row>
    <row r="539" ht="15.75" customHeight="1">
      <c r="D539" s="20"/>
      <c r="E539" s="20"/>
      <c r="F539" s="21"/>
    </row>
    <row r="540" ht="15.75" customHeight="1">
      <c r="D540" s="20"/>
      <c r="E540" s="20"/>
      <c r="F540" s="21"/>
    </row>
    <row r="541" ht="15.75" customHeight="1">
      <c r="D541" s="20"/>
      <c r="E541" s="20"/>
      <c r="F541" s="21"/>
    </row>
    <row r="542" ht="15.75" customHeight="1">
      <c r="D542" s="20"/>
      <c r="E542" s="20"/>
      <c r="F542" s="21"/>
    </row>
    <row r="543" ht="15.75" customHeight="1">
      <c r="D543" s="20"/>
      <c r="E543" s="20"/>
      <c r="F543" s="21"/>
    </row>
    <row r="544" ht="15.75" customHeight="1">
      <c r="D544" s="20"/>
      <c r="E544" s="20"/>
      <c r="F544" s="21"/>
    </row>
    <row r="545" ht="15.75" customHeight="1">
      <c r="D545" s="20"/>
      <c r="E545" s="20"/>
      <c r="F545" s="21"/>
    </row>
    <row r="546" ht="15.75" customHeight="1">
      <c r="D546" s="20"/>
      <c r="E546" s="20"/>
      <c r="F546" s="21"/>
    </row>
    <row r="547" ht="15.75" customHeight="1">
      <c r="D547" s="20"/>
      <c r="E547" s="20"/>
      <c r="F547" s="21"/>
    </row>
    <row r="548" ht="15.75" customHeight="1">
      <c r="D548" s="20"/>
      <c r="E548" s="20"/>
      <c r="F548" s="21"/>
    </row>
    <row r="549" ht="15.75" customHeight="1">
      <c r="D549" s="20"/>
      <c r="E549" s="20"/>
      <c r="F549" s="21"/>
    </row>
    <row r="550" ht="15.75" customHeight="1">
      <c r="D550" s="20"/>
      <c r="E550" s="20"/>
      <c r="F550" s="21"/>
    </row>
    <row r="551" ht="15.75" customHeight="1">
      <c r="D551" s="20"/>
      <c r="E551" s="20"/>
      <c r="F551" s="21"/>
    </row>
    <row r="552" ht="15.75" customHeight="1">
      <c r="D552" s="20"/>
      <c r="E552" s="20"/>
      <c r="F552" s="21"/>
    </row>
    <row r="553" ht="15.75" customHeight="1">
      <c r="D553" s="20"/>
      <c r="E553" s="20"/>
      <c r="F553" s="21"/>
    </row>
    <row r="554" ht="15.75" customHeight="1">
      <c r="D554" s="20"/>
      <c r="E554" s="20"/>
      <c r="F554" s="21"/>
    </row>
    <row r="555" ht="15.75" customHeight="1">
      <c r="D555" s="20"/>
      <c r="E555" s="20"/>
      <c r="F555" s="21"/>
    </row>
    <row r="556" ht="15.75" customHeight="1">
      <c r="D556" s="20"/>
      <c r="E556" s="20"/>
      <c r="F556" s="21"/>
    </row>
    <row r="557" ht="15.75" customHeight="1">
      <c r="D557" s="20"/>
      <c r="E557" s="20"/>
      <c r="F557" s="21"/>
    </row>
    <row r="558" ht="15.75" customHeight="1">
      <c r="D558" s="20"/>
      <c r="E558" s="20"/>
      <c r="F558" s="21"/>
    </row>
    <row r="559" ht="15.75" customHeight="1">
      <c r="D559" s="20"/>
      <c r="E559" s="20"/>
      <c r="F559" s="21"/>
    </row>
    <row r="560" ht="15.75" customHeight="1">
      <c r="D560" s="20"/>
      <c r="E560" s="20"/>
      <c r="F560" s="21"/>
    </row>
    <row r="561" ht="15.75" customHeight="1">
      <c r="D561" s="20"/>
      <c r="E561" s="20"/>
      <c r="F561" s="21"/>
    </row>
    <row r="562" ht="15.75" customHeight="1">
      <c r="D562" s="20"/>
      <c r="E562" s="20"/>
      <c r="F562" s="21"/>
    </row>
    <row r="563" ht="15.75" customHeight="1">
      <c r="D563" s="20"/>
      <c r="E563" s="20"/>
      <c r="F563" s="21"/>
    </row>
    <row r="564" ht="15.75" customHeight="1">
      <c r="D564" s="20"/>
      <c r="E564" s="20"/>
      <c r="F564" s="21"/>
    </row>
    <row r="565" ht="15.75" customHeight="1">
      <c r="D565" s="20"/>
      <c r="E565" s="20"/>
      <c r="F565" s="21"/>
    </row>
    <row r="566" ht="15.75" customHeight="1">
      <c r="D566" s="20"/>
      <c r="E566" s="20"/>
      <c r="F566" s="21"/>
    </row>
    <row r="567" ht="15.75" customHeight="1">
      <c r="D567" s="20"/>
      <c r="E567" s="20"/>
      <c r="F567" s="21"/>
    </row>
    <row r="568" ht="15.75" customHeight="1">
      <c r="D568" s="20"/>
      <c r="E568" s="20"/>
      <c r="F568" s="21"/>
    </row>
    <row r="569" ht="15.75" customHeight="1">
      <c r="D569" s="20"/>
      <c r="E569" s="20"/>
      <c r="F569" s="21"/>
    </row>
    <row r="570" ht="15.75" customHeight="1">
      <c r="D570" s="20"/>
      <c r="E570" s="20"/>
      <c r="F570" s="21"/>
    </row>
    <row r="571" ht="15.75" customHeight="1">
      <c r="D571" s="20"/>
      <c r="E571" s="20"/>
      <c r="F571" s="21"/>
    </row>
    <row r="572" ht="15.75" customHeight="1">
      <c r="D572" s="20"/>
      <c r="E572" s="20"/>
      <c r="F572" s="21"/>
    </row>
    <row r="573" ht="15.75" customHeight="1">
      <c r="D573" s="20"/>
      <c r="E573" s="20"/>
      <c r="F573" s="21"/>
    </row>
    <row r="574" ht="15.75" customHeight="1">
      <c r="D574" s="20"/>
      <c r="E574" s="20"/>
      <c r="F574" s="21"/>
    </row>
    <row r="575" ht="15.75" customHeight="1">
      <c r="D575" s="20"/>
      <c r="E575" s="20"/>
      <c r="F575" s="21"/>
    </row>
    <row r="576" ht="15.75" customHeight="1">
      <c r="D576" s="20"/>
      <c r="E576" s="20"/>
      <c r="F576" s="21"/>
    </row>
    <row r="577" ht="15.75" customHeight="1">
      <c r="D577" s="20"/>
      <c r="E577" s="20"/>
      <c r="F577" s="21"/>
    </row>
    <row r="578" ht="15.75" customHeight="1">
      <c r="D578" s="20"/>
      <c r="E578" s="20"/>
      <c r="F578" s="21"/>
    </row>
    <row r="579" ht="15.75" customHeight="1">
      <c r="D579" s="20"/>
      <c r="E579" s="20"/>
      <c r="F579" s="21"/>
    </row>
    <row r="580" ht="15.75" customHeight="1">
      <c r="D580" s="20"/>
      <c r="E580" s="20"/>
      <c r="F580" s="21"/>
    </row>
    <row r="581" ht="15.75" customHeight="1">
      <c r="D581" s="20"/>
      <c r="E581" s="20"/>
      <c r="F581" s="21"/>
    </row>
    <row r="582" ht="15.75" customHeight="1">
      <c r="D582" s="20"/>
      <c r="E582" s="20"/>
      <c r="F582" s="21"/>
    </row>
    <row r="583" ht="15.75" customHeight="1">
      <c r="D583" s="20"/>
      <c r="E583" s="20"/>
      <c r="F583" s="21"/>
    </row>
    <row r="584" ht="15.75" customHeight="1">
      <c r="D584" s="20"/>
      <c r="E584" s="20"/>
      <c r="F584" s="21"/>
    </row>
    <row r="585" ht="15.75" customHeight="1">
      <c r="D585" s="20"/>
      <c r="E585" s="20"/>
      <c r="F585" s="21"/>
    </row>
    <row r="586" ht="15.75" customHeight="1">
      <c r="D586" s="20"/>
      <c r="E586" s="20"/>
      <c r="F586" s="21"/>
    </row>
    <row r="587" ht="15.75" customHeight="1">
      <c r="D587" s="20"/>
      <c r="E587" s="20"/>
      <c r="F587" s="21"/>
    </row>
    <row r="588" ht="15.75" customHeight="1">
      <c r="D588" s="20"/>
      <c r="E588" s="20"/>
      <c r="F588" s="21"/>
    </row>
    <row r="589" ht="15.75" customHeight="1">
      <c r="D589" s="20"/>
      <c r="E589" s="20"/>
      <c r="F589" s="21"/>
    </row>
    <row r="590" ht="15.75" customHeight="1">
      <c r="D590" s="20"/>
      <c r="E590" s="20"/>
      <c r="F590" s="21"/>
    </row>
    <row r="591" ht="15.75" customHeight="1">
      <c r="D591" s="20"/>
      <c r="E591" s="20"/>
      <c r="F591" s="21"/>
    </row>
    <row r="592" ht="15.75" customHeight="1">
      <c r="D592" s="20"/>
      <c r="E592" s="20"/>
      <c r="F592" s="21"/>
    </row>
    <row r="593" ht="15.75" customHeight="1">
      <c r="D593" s="20"/>
      <c r="E593" s="20"/>
      <c r="F593" s="21"/>
    </row>
    <row r="594" ht="15.75" customHeight="1">
      <c r="D594" s="20"/>
      <c r="E594" s="20"/>
      <c r="F594" s="21"/>
    </row>
    <row r="595" ht="15.75" customHeight="1">
      <c r="D595" s="20"/>
      <c r="E595" s="20"/>
      <c r="F595" s="21"/>
    </row>
    <row r="596" ht="15.75" customHeight="1">
      <c r="D596" s="20"/>
      <c r="E596" s="20"/>
      <c r="F596" s="21"/>
    </row>
    <row r="597" ht="15.75" customHeight="1">
      <c r="D597" s="20"/>
      <c r="E597" s="20"/>
      <c r="F597" s="21"/>
    </row>
    <row r="598" ht="15.75" customHeight="1">
      <c r="D598" s="20"/>
      <c r="E598" s="20"/>
      <c r="F598" s="21"/>
    </row>
    <row r="599" ht="15.75" customHeight="1">
      <c r="D599" s="20"/>
      <c r="E599" s="20"/>
      <c r="F599" s="21"/>
    </row>
    <row r="600" ht="15.75" customHeight="1">
      <c r="D600" s="20"/>
      <c r="E600" s="20"/>
      <c r="F600" s="21"/>
    </row>
    <row r="601" ht="15.75" customHeight="1">
      <c r="D601" s="20"/>
      <c r="E601" s="20"/>
      <c r="F601" s="21"/>
    </row>
    <row r="602" ht="15.75" customHeight="1">
      <c r="D602" s="20"/>
      <c r="E602" s="20"/>
      <c r="F602" s="21"/>
    </row>
    <row r="603" ht="15.75" customHeight="1">
      <c r="D603" s="20"/>
      <c r="E603" s="20"/>
      <c r="F603" s="21"/>
    </row>
    <row r="604" ht="15.75" customHeight="1">
      <c r="D604" s="20"/>
      <c r="E604" s="20"/>
      <c r="F604" s="21"/>
    </row>
    <row r="605" ht="15.75" customHeight="1">
      <c r="D605" s="20"/>
      <c r="E605" s="20"/>
      <c r="F605" s="21"/>
    </row>
    <row r="606" ht="15.75" customHeight="1">
      <c r="D606" s="20"/>
      <c r="E606" s="20"/>
      <c r="F606" s="21"/>
    </row>
    <row r="607" ht="15.75" customHeight="1">
      <c r="D607" s="20"/>
      <c r="E607" s="20"/>
      <c r="F607" s="21"/>
    </row>
    <row r="608" ht="15.75" customHeight="1">
      <c r="D608" s="20"/>
      <c r="E608" s="20"/>
      <c r="F608" s="21"/>
    </row>
    <row r="609" ht="15.75" customHeight="1">
      <c r="D609" s="20"/>
      <c r="E609" s="20"/>
      <c r="F609" s="21"/>
    </row>
    <row r="610" ht="15.75" customHeight="1">
      <c r="D610" s="20"/>
      <c r="E610" s="20"/>
      <c r="F610" s="21"/>
    </row>
    <row r="611" ht="15.75" customHeight="1">
      <c r="D611" s="20"/>
      <c r="E611" s="20"/>
      <c r="F611" s="21"/>
    </row>
    <row r="612" ht="15.75" customHeight="1">
      <c r="D612" s="20"/>
      <c r="E612" s="20"/>
      <c r="F612" s="21"/>
    </row>
    <row r="613" ht="15.75" customHeight="1">
      <c r="D613" s="20"/>
      <c r="E613" s="20"/>
      <c r="F613" s="21"/>
    </row>
    <row r="614" ht="15.75" customHeight="1">
      <c r="D614" s="20"/>
      <c r="E614" s="20"/>
      <c r="F614" s="21"/>
    </row>
    <row r="615" ht="15.75" customHeight="1">
      <c r="D615" s="20"/>
      <c r="E615" s="20"/>
      <c r="F615" s="21"/>
    </row>
    <row r="616" ht="15.75" customHeight="1">
      <c r="D616" s="20"/>
      <c r="E616" s="20"/>
      <c r="F616" s="21"/>
    </row>
    <row r="617" ht="15.75" customHeight="1">
      <c r="D617" s="20"/>
      <c r="E617" s="20"/>
      <c r="F617" s="21"/>
    </row>
    <row r="618" ht="15.75" customHeight="1">
      <c r="D618" s="20"/>
      <c r="E618" s="20"/>
      <c r="F618" s="21"/>
    </row>
    <row r="619" ht="15.75" customHeight="1">
      <c r="D619" s="20"/>
      <c r="E619" s="20"/>
      <c r="F619" s="21"/>
    </row>
    <row r="620" ht="15.75" customHeight="1">
      <c r="D620" s="20"/>
      <c r="E620" s="20"/>
      <c r="F620" s="21"/>
    </row>
    <row r="621" ht="15.75" customHeight="1">
      <c r="D621" s="20"/>
      <c r="E621" s="20"/>
      <c r="F621" s="21"/>
    </row>
    <row r="622" ht="15.75" customHeight="1">
      <c r="D622" s="20"/>
      <c r="E622" s="20"/>
      <c r="F622" s="21"/>
    </row>
    <row r="623" ht="15.75" customHeight="1">
      <c r="D623" s="20"/>
      <c r="E623" s="20"/>
      <c r="F623" s="21"/>
    </row>
    <row r="624" ht="15.75" customHeight="1">
      <c r="D624" s="20"/>
      <c r="E624" s="20"/>
      <c r="F624" s="21"/>
    </row>
    <row r="625" ht="15.75" customHeight="1">
      <c r="D625" s="20"/>
      <c r="E625" s="20"/>
      <c r="F625" s="21"/>
    </row>
    <row r="626" ht="15.75" customHeight="1">
      <c r="D626" s="20"/>
      <c r="E626" s="20"/>
      <c r="F626" s="21"/>
    </row>
    <row r="627" ht="15.75" customHeight="1">
      <c r="D627" s="20"/>
      <c r="E627" s="20"/>
      <c r="F627" s="21"/>
    </row>
    <row r="628" ht="15.75" customHeight="1">
      <c r="D628" s="20"/>
      <c r="E628" s="20"/>
      <c r="F628" s="21"/>
    </row>
    <row r="629" ht="15.75" customHeight="1">
      <c r="D629" s="20"/>
      <c r="E629" s="20"/>
      <c r="F629" s="21"/>
    </row>
    <row r="630" ht="15.75" customHeight="1">
      <c r="D630" s="20"/>
      <c r="E630" s="20"/>
      <c r="F630" s="21"/>
    </row>
    <row r="631" ht="15.75" customHeight="1">
      <c r="D631" s="20"/>
      <c r="E631" s="20"/>
      <c r="F631" s="21"/>
    </row>
    <row r="632" ht="15.75" customHeight="1">
      <c r="D632" s="20"/>
      <c r="E632" s="20"/>
      <c r="F632" s="21"/>
    </row>
    <row r="633" ht="15.75" customHeight="1">
      <c r="D633" s="20"/>
      <c r="E633" s="20"/>
      <c r="F633" s="21"/>
    </row>
    <row r="634" ht="15.75" customHeight="1">
      <c r="D634" s="20"/>
      <c r="E634" s="20"/>
      <c r="F634" s="21"/>
    </row>
    <row r="635" ht="15.75" customHeight="1">
      <c r="D635" s="20"/>
      <c r="E635" s="20"/>
      <c r="F635" s="21"/>
    </row>
    <row r="636" ht="15.75" customHeight="1">
      <c r="D636" s="20"/>
      <c r="E636" s="20"/>
      <c r="F636" s="21"/>
    </row>
    <row r="637" ht="15.75" customHeight="1">
      <c r="D637" s="20"/>
      <c r="E637" s="20"/>
      <c r="F637" s="21"/>
    </row>
    <row r="638" ht="15.75" customHeight="1">
      <c r="D638" s="20"/>
      <c r="E638" s="20"/>
      <c r="F638" s="21"/>
    </row>
    <row r="639" ht="15.75" customHeight="1">
      <c r="D639" s="20"/>
      <c r="E639" s="20"/>
      <c r="F639" s="21"/>
    </row>
    <row r="640" ht="15.75" customHeight="1">
      <c r="D640" s="20"/>
      <c r="E640" s="20"/>
      <c r="F640" s="21"/>
    </row>
    <row r="641" ht="15.75" customHeight="1">
      <c r="D641" s="20"/>
      <c r="E641" s="20"/>
      <c r="F641" s="21"/>
    </row>
    <row r="642" ht="15.75" customHeight="1">
      <c r="D642" s="20"/>
      <c r="E642" s="20"/>
      <c r="F642" s="21"/>
    </row>
    <row r="643" ht="15.75" customHeight="1">
      <c r="D643" s="20"/>
      <c r="E643" s="20"/>
      <c r="F643" s="21"/>
    </row>
    <row r="644" ht="15.75" customHeight="1">
      <c r="D644" s="20"/>
      <c r="E644" s="20"/>
      <c r="F644" s="21"/>
    </row>
    <row r="645" ht="15.75" customHeight="1">
      <c r="D645" s="20"/>
      <c r="E645" s="20"/>
      <c r="F645" s="21"/>
    </row>
    <row r="646" ht="15.75" customHeight="1">
      <c r="D646" s="20"/>
      <c r="E646" s="20"/>
      <c r="F646" s="21"/>
    </row>
    <row r="647" ht="15.75" customHeight="1">
      <c r="D647" s="20"/>
      <c r="E647" s="20"/>
      <c r="F647" s="21"/>
    </row>
    <row r="648" ht="15.75" customHeight="1">
      <c r="D648" s="20"/>
      <c r="E648" s="20"/>
      <c r="F648" s="21"/>
    </row>
    <row r="649" ht="15.75" customHeight="1">
      <c r="D649" s="20"/>
      <c r="E649" s="20"/>
      <c r="F649" s="21"/>
    </row>
    <row r="650" ht="15.75" customHeight="1">
      <c r="D650" s="20"/>
      <c r="E650" s="20"/>
      <c r="F650" s="21"/>
    </row>
    <row r="651" ht="15.75" customHeight="1">
      <c r="D651" s="20"/>
      <c r="E651" s="20"/>
      <c r="F651" s="21"/>
    </row>
    <row r="652" ht="15.75" customHeight="1">
      <c r="D652" s="20"/>
      <c r="E652" s="20"/>
      <c r="F652" s="21"/>
    </row>
    <row r="653" ht="15.75" customHeight="1">
      <c r="D653" s="20"/>
      <c r="E653" s="20"/>
      <c r="F653" s="21"/>
    </row>
    <row r="654" ht="15.75" customHeight="1">
      <c r="D654" s="20"/>
      <c r="E654" s="20"/>
      <c r="F654" s="21"/>
    </row>
    <row r="655" ht="15.75" customHeight="1">
      <c r="D655" s="20"/>
      <c r="E655" s="20"/>
      <c r="F655" s="21"/>
    </row>
    <row r="656" ht="15.75" customHeight="1">
      <c r="D656" s="20"/>
      <c r="E656" s="20"/>
      <c r="F656" s="21"/>
    </row>
    <row r="657" ht="15.75" customHeight="1">
      <c r="D657" s="20"/>
      <c r="E657" s="20"/>
      <c r="F657" s="21"/>
    </row>
    <row r="658" ht="15.75" customHeight="1">
      <c r="D658" s="20"/>
      <c r="E658" s="20"/>
      <c r="F658" s="21"/>
    </row>
    <row r="659" ht="15.75" customHeight="1">
      <c r="D659" s="20"/>
      <c r="E659" s="20"/>
      <c r="F659" s="21"/>
    </row>
    <row r="660" ht="15.75" customHeight="1">
      <c r="D660" s="20"/>
      <c r="E660" s="20"/>
      <c r="F660" s="21"/>
    </row>
    <row r="661" ht="15.75" customHeight="1">
      <c r="D661" s="20"/>
      <c r="E661" s="20"/>
      <c r="F661" s="21"/>
    </row>
    <row r="662" ht="15.75" customHeight="1">
      <c r="D662" s="20"/>
      <c r="E662" s="20"/>
      <c r="F662" s="21"/>
    </row>
    <row r="663" ht="15.75" customHeight="1">
      <c r="D663" s="20"/>
      <c r="E663" s="20"/>
      <c r="F663" s="21"/>
    </row>
    <row r="664" ht="15.75" customHeight="1">
      <c r="D664" s="20"/>
      <c r="E664" s="20"/>
      <c r="F664" s="21"/>
    </row>
    <row r="665" ht="15.75" customHeight="1">
      <c r="D665" s="20"/>
      <c r="E665" s="20"/>
      <c r="F665" s="21"/>
    </row>
    <row r="666" ht="15.75" customHeight="1">
      <c r="D666" s="20"/>
      <c r="E666" s="20"/>
      <c r="F666" s="21"/>
    </row>
    <row r="667" ht="15.75" customHeight="1">
      <c r="D667" s="20"/>
      <c r="E667" s="20"/>
      <c r="F667" s="21"/>
    </row>
    <row r="668" ht="15.75" customHeight="1">
      <c r="D668" s="20"/>
      <c r="E668" s="20"/>
      <c r="F668" s="21"/>
    </row>
    <row r="669" ht="15.75" customHeight="1">
      <c r="D669" s="20"/>
      <c r="E669" s="20"/>
      <c r="F669" s="21"/>
    </row>
    <row r="670" ht="15.75" customHeight="1">
      <c r="D670" s="20"/>
      <c r="E670" s="20"/>
      <c r="F670" s="21"/>
    </row>
    <row r="671" ht="15.75" customHeight="1">
      <c r="D671" s="20"/>
      <c r="E671" s="20"/>
      <c r="F671" s="21"/>
    </row>
    <row r="672" ht="15.75" customHeight="1">
      <c r="D672" s="20"/>
      <c r="E672" s="20"/>
      <c r="F672" s="21"/>
    </row>
    <row r="673" ht="15.75" customHeight="1">
      <c r="D673" s="20"/>
      <c r="E673" s="20"/>
      <c r="F673" s="21"/>
    </row>
    <row r="674" ht="15.75" customHeight="1">
      <c r="D674" s="20"/>
      <c r="E674" s="20"/>
      <c r="F674" s="21"/>
    </row>
    <row r="675" ht="15.75" customHeight="1">
      <c r="D675" s="20"/>
      <c r="E675" s="20"/>
      <c r="F675" s="21"/>
    </row>
    <row r="676" ht="15.75" customHeight="1">
      <c r="D676" s="20"/>
      <c r="E676" s="20"/>
      <c r="F676" s="21"/>
    </row>
    <row r="677" ht="15.75" customHeight="1">
      <c r="D677" s="20"/>
      <c r="E677" s="20"/>
      <c r="F677" s="21"/>
    </row>
    <row r="678" ht="15.75" customHeight="1">
      <c r="D678" s="20"/>
      <c r="E678" s="20"/>
      <c r="F678" s="21"/>
    </row>
    <row r="679" ht="15.75" customHeight="1">
      <c r="D679" s="20"/>
      <c r="E679" s="20"/>
      <c r="F679" s="21"/>
    </row>
    <row r="680" ht="15.75" customHeight="1">
      <c r="D680" s="20"/>
      <c r="E680" s="20"/>
      <c r="F680" s="21"/>
    </row>
    <row r="681" ht="15.75" customHeight="1">
      <c r="D681" s="20"/>
      <c r="E681" s="20"/>
      <c r="F681" s="21"/>
    </row>
    <row r="682" ht="15.75" customHeight="1">
      <c r="D682" s="20"/>
      <c r="E682" s="20"/>
      <c r="F682" s="21"/>
    </row>
    <row r="683" ht="15.75" customHeight="1">
      <c r="D683" s="20"/>
      <c r="E683" s="20"/>
      <c r="F683" s="21"/>
    </row>
    <row r="684" ht="15.75" customHeight="1">
      <c r="D684" s="20"/>
      <c r="E684" s="20"/>
      <c r="F684" s="21"/>
    </row>
    <row r="685" ht="15.75" customHeight="1">
      <c r="D685" s="20"/>
      <c r="E685" s="20"/>
      <c r="F685" s="21"/>
    </row>
    <row r="686" ht="15.75" customHeight="1">
      <c r="D686" s="20"/>
      <c r="E686" s="20"/>
      <c r="F686" s="21"/>
    </row>
    <row r="687" ht="15.75" customHeight="1">
      <c r="D687" s="20"/>
      <c r="E687" s="20"/>
      <c r="F687" s="21"/>
    </row>
    <row r="688" ht="15.75" customHeight="1">
      <c r="D688" s="20"/>
      <c r="E688" s="20"/>
      <c r="F688" s="21"/>
    </row>
    <row r="689" ht="15.75" customHeight="1">
      <c r="D689" s="20"/>
      <c r="E689" s="20"/>
      <c r="F689" s="21"/>
    </row>
    <row r="690" ht="15.75" customHeight="1">
      <c r="D690" s="20"/>
      <c r="E690" s="20"/>
      <c r="F690" s="21"/>
    </row>
    <row r="691" ht="15.75" customHeight="1">
      <c r="D691" s="20"/>
      <c r="E691" s="20"/>
      <c r="F691" s="21"/>
    </row>
    <row r="692" ht="15.75" customHeight="1">
      <c r="D692" s="20"/>
      <c r="E692" s="20"/>
      <c r="F692" s="21"/>
    </row>
    <row r="693" ht="15.75" customHeight="1">
      <c r="D693" s="20"/>
      <c r="E693" s="20"/>
      <c r="F693" s="21"/>
    </row>
    <row r="694" ht="15.75" customHeight="1">
      <c r="D694" s="20"/>
      <c r="E694" s="20"/>
      <c r="F694" s="21"/>
    </row>
    <row r="695" ht="15.75" customHeight="1">
      <c r="D695" s="20"/>
      <c r="E695" s="20"/>
      <c r="F695" s="21"/>
    </row>
    <row r="696" ht="15.75" customHeight="1">
      <c r="D696" s="20"/>
      <c r="E696" s="20"/>
      <c r="F696" s="21"/>
    </row>
    <row r="697" ht="15.75" customHeight="1">
      <c r="D697" s="20"/>
      <c r="E697" s="20"/>
      <c r="F697" s="21"/>
    </row>
    <row r="698" ht="15.75" customHeight="1">
      <c r="D698" s="20"/>
      <c r="E698" s="20"/>
      <c r="F698" s="21"/>
    </row>
    <row r="699" ht="15.75" customHeight="1">
      <c r="D699" s="20"/>
      <c r="E699" s="20"/>
      <c r="F699" s="21"/>
    </row>
    <row r="700" ht="15.75" customHeight="1">
      <c r="D700" s="20"/>
      <c r="E700" s="20"/>
      <c r="F700" s="21"/>
    </row>
    <row r="701" ht="15.75" customHeight="1">
      <c r="D701" s="20"/>
      <c r="E701" s="20"/>
      <c r="F701" s="21"/>
    </row>
    <row r="702" ht="15.75" customHeight="1">
      <c r="D702" s="20"/>
      <c r="E702" s="20"/>
      <c r="F702" s="21"/>
    </row>
    <row r="703" ht="15.75" customHeight="1">
      <c r="D703" s="20"/>
      <c r="E703" s="20"/>
      <c r="F703" s="21"/>
    </row>
    <row r="704" ht="15.75" customHeight="1">
      <c r="D704" s="20"/>
      <c r="E704" s="20"/>
      <c r="F704" s="21"/>
    </row>
    <row r="705" ht="15.75" customHeight="1">
      <c r="D705" s="20"/>
      <c r="E705" s="20"/>
      <c r="F705" s="21"/>
    </row>
    <row r="706" ht="15.75" customHeight="1">
      <c r="D706" s="20"/>
      <c r="E706" s="20"/>
      <c r="F706" s="21"/>
    </row>
    <row r="707" ht="15.75" customHeight="1">
      <c r="D707" s="20"/>
      <c r="E707" s="20"/>
      <c r="F707" s="21"/>
    </row>
    <row r="708" ht="15.75" customHeight="1">
      <c r="D708" s="20"/>
      <c r="E708" s="20"/>
      <c r="F708" s="21"/>
    </row>
    <row r="709" ht="15.75" customHeight="1">
      <c r="D709" s="20"/>
      <c r="E709" s="20"/>
      <c r="F709" s="21"/>
    </row>
    <row r="710" ht="15.75" customHeight="1">
      <c r="D710" s="20"/>
      <c r="E710" s="20"/>
      <c r="F710" s="21"/>
    </row>
    <row r="711" ht="15.75" customHeight="1">
      <c r="D711" s="20"/>
      <c r="E711" s="20"/>
      <c r="F711" s="21"/>
    </row>
    <row r="712" ht="15.75" customHeight="1">
      <c r="D712" s="20"/>
      <c r="E712" s="20"/>
      <c r="F712" s="21"/>
    </row>
    <row r="713" ht="15.75" customHeight="1">
      <c r="D713" s="20"/>
      <c r="E713" s="20"/>
      <c r="F713" s="21"/>
    </row>
    <row r="714" ht="15.75" customHeight="1">
      <c r="D714" s="20"/>
      <c r="E714" s="20"/>
      <c r="F714" s="21"/>
    </row>
    <row r="715" ht="15.75" customHeight="1">
      <c r="D715" s="20"/>
      <c r="E715" s="20"/>
      <c r="F715" s="21"/>
    </row>
    <row r="716" ht="15.75" customHeight="1">
      <c r="D716" s="20"/>
      <c r="E716" s="20"/>
      <c r="F716" s="21"/>
    </row>
    <row r="717" ht="15.75" customHeight="1">
      <c r="D717" s="20"/>
      <c r="E717" s="20"/>
      <c r="F717" s="21"/>
    </row>
    <row r="718" ht="15.75" customHeight="1">
      <c r="D718" s="20"/>
      <c r="E718" s="20"/>
      <c r="F718" s="21"/>
    </row>
    <row r="719" ht="15.75" customHeight="1">
      <c r="D719" s="20"/>
      <c r="E719" s="20"/>
      <c r="F719" s="21"/>
    </row>
    <row r="720" ht="15.75" customHeight="1">
      <c r="D720" s="20"/>
      <c r="E720" s="20"/>
      <c r="F720" s="21"/>
    </row>
    <row r="721" ht="15.75" customHeight="1">
      <c r="D721" s="20"/>
      <c r="E721" s="20"/>
      <c r="F721" s="21"/>
    </row>
    <row r="722" ht="15.75" customHeight="1">
      <c r="D722" s="20"/>
      <c r="E722" s="20"/>
      <c r="F722" s="21"/>
    </row>
    <row r="723" ht="15.75" customHeight="1">
      <c r="D723" s="20"/>
      <c r="E723" s="20"/>
      <c r="F723" s="21"/>
    </row>
    <row r="724" ht="15.75" customHeight="1">
      <c r="D724" s="20"/>
      <c r="E724" s="20"/>
      <c r="F724" s="21"/>
    </row>
    <row r="725" ht="15.75" customHeight="1">
      <c r="D725" s="20"/>
      <c r="E725" s="20"/>
      <c r="F725" s="21"/>
    </row>
    <row r="726" ht="15.75" customHeight="1">
      <c r="D726" s="20"/>
      <c r="E726" s="20"/>
      <c r="F726" s="21"/>
    </row>
    <row r="727" ht="15.75" customHeight="1">
      <c r="D727" s="20"/>
      <c r="E727" s="20"/>
      <c r="F727" s="21"/>
    </row>
    <row r="728" ht="15.75" customHeight="1">
      <c r="D728" s="20"/>
      <c r="E728" s="20"/>
      <c r="F728" s="21"/>
    </row>
    <row r="729" ht="15.75" customHeight="1">
      <c r="D729" s="20"/>
      <c r="E729" s="20"/>
      <c r="F729" s="21"/>
    </row>
    <row r="730" ht="15.75" customHeight="1">
      <c r="D730" s="20"/>
      <c r="E730" s="20"/>
      <c r="F730" s="21"/>
    </row>
    <row r="731" ht="15.75" customHeight="1">
      <c r="D731" s="20"/>
      <c r="E731" s="20"/>
      <c r="F731" s="21"/>
    </row>
    <row r="732" ht="15.75" customHeight="1">
      <c r="D732" s="20"/>
      <c r="E732" s="20"/>
      <c r="F732" s="21"/>
    </row>
    <row r="733" ht="15.75" customHeight="1">
      <c r="D733" s="20"/>
      <c r="E733" s="20"/>
      <c r="F733" s="21"/>
    </row>
    <row r="734" ht="15.75" customHeight="1">
      <c r="D734" s="20"/>
      <c r="E734" s="20"/>
      <c r="F734" s="21"/>
    </row>
    <row r="735" ht="15.75" customHeight="1">
      <c r="D735" s="20"/>
      <c r="E735" s="20"/>
      <c r="F735" s="21"/>
    </row>
    <row r="736" ht="15.75" customHeight="1">
      <c r="D736" s="20"/>
      <c r="E736" s="20"/>
      <c r="F736" s="21"/>
    </row>
    <row r="737" ht="15.75" customHeight="1">
      <c r="D737" s="20"/>
      <c r="E737" s="20"/>
      <c r="F737" s="21"/>
    </row>
    <row r="738" ht="15.75" customHeight="1">
      <c r="D738" s="20"/>
      <c r="E738" s="20"/>
      <c r="F738" s="21"/>
    </row>
    <row r="739" ht="15.75" customHeight="1">
      <c r="D739" s="20"/>
      <c r="E739" s="20"/>
      <c r="F739" s="21"/>
    </row>
    <row r="740" ht="15.75" customHeight="1">
      <c r="D740" s="20"/>
      <c r="E740" s="20"/>
      <c r="F740" s="21"/>
    </row>
    <row r="741" ht="15.75" customHeight="1">
      <c r="D741" s="20"/>
      <c r="E741" s="20"/>
      <c r="F741" s="21"/>
    </row>
    <row r="742" ht="15.75" customHeight="1">
      <c r="D742" s="20"/>
      <c r="E742" s="20"/>
      <c r="F742" s="21"/>
    </row>
    <row r="743" ht="15.75" customHeight="1">
      <c r="D743" s="20"/>
      <c r="E743" s="20"/>
      <c r="F743" s="21"/>
    </row>
    <row r="744" ht="15.75" customHeight="1">
      <c r="D744" s="20"/>
      <c r="E744" s="20"/>
      <c r="F744" s="21"/>
    </row>
    <row r="745" ht="15.75" customHeight="1">
      <c r="D745" s="20"/>
      <c r="E745" s="20"/>
      <c r="F745" s="21"/>
    </row>
    <row r="746" ht="15.75" customHeight="1">
      <c r="D746" s="20"/>
      <c r="E746" s="20"/>
      <c r="F746" s="21"/>
    </row>
    <row r="747" ht="15.75" customHeight="1">
      <c r="D747" s="20"/>
      <c r="E747" s="20"/>
      <c r="F747" s="21"/>
    </row>
    <row r="748" ht="15.75" customHeight="1">
      <c r="D748" s="20"/>
      <c r="E748" s="20"/>
      <c r="F748" s="21"/>
    </row>
    <row r="749" ht="15.75" customHeight="1">
      <c r="D749" s="20"/>
      <c r="E749" s="20"/>
      <c r="F749" s="21"/>
    </row>
    <row r="750" ht="15.75" customHeight="1">
      <c r="D750" s="20"/>
      <c r="E750" s="20"/>
      <c r="F750" s="21"/>
    </row>
    <row r="751" ht="15.75" customHeight="1">
      <c r="D751" s="20"/>
      <c r="E751" s="20"/>
      <c r="F751" s="21"/>
    </row>
    <row r="752" ht="15.75" customHeight="1">
      <c r="D752" s="20"/>
      <c r="E752" s="20"/>
      <c r="F752" s="21"/>
    </row>
    <row r="753" ht="15.75" customHeight="1">
      <c r="D753" s="20"/>
      <c r="E753" s="20"/>
      <c r="F753" s="21"/>
    </row>
    <row r="754" ht="15.75" customHeight="1">
      <c r="D754" s="20"/>
      <c r="E754" s="20"/>
      <c r="F754" s="21"/>
    </row>
    <row r="755" ht="15.75" customHeight="1">
      <c r="D755" s="20"/>
      <c r="E755" s="20"/>
      <c r="F755" s="21"/>
    </row>
    <row r="756" ht="15.75" customHeight="1">
      <c r="D756" s="20"/>
      <c r="E756" s="20"/>
      <c r="F756" s="21"/>
    </row>
    <row r="757" ht="15.75" customHeight="1">
      <c r="D757" s="20"/>
      <c r="E757" s="20"/>
      <c r="F757" s="21"/>
    </row>
    <row r="758" ht="15.75" customHeight="1">
      <c r="D758" s="20"/>
      <c r="E758" s="20"/>
      <c r="F758" s="21"/>
    </row>
    <row r="759" ht="15.75" customHeight="1">
      <c r="D759" s="20"/>
      <c r="E759" s="20"/>
      <c r="F759" s="21"/>
    </row>
    <row r="760" ht="15.75" customHeight="1">
      <c r="D760" s="20"/>
      <c r="E760" s="20"/>
      <c r="F760" s="21"/>
    </row>
    <row r="761" ht="15.75" customHeight="1">
      <c r="D761" s="20"/>
      <c r="E761" s="20"/>
      <c r="F761" s="21"/>
    </row>
    <row r="762" ht="15.75" customHeight="1">
      <c r="D762" s="20"/>
      <c r="E762" s="20"/>
      <c r="F762" s="21"/>
    </row>
    <row r="763" ht="15.75" customHeight="1">
      <c r="D763" s="20"/>
      <c r="E763" s="20"/>
      <c r="F763" s="21"/>
    </row>
    <row r="764" ht="15.75" customHeight="1">
      <c r="D764" s="20"/>
      <c r="E764" s="20"/>
      <c r="F764" s="21"/>
    </row>
    <row r="765" ht="15.75" customHeight="1">
      <c r="D765" s="20"/>
      <c r="E765" s="20"/>
      <c r="F765" s="21"/>
    </row>
    <row r="766" ht="15.75" customHeight="1">
      <c r="D766" s="20"/>
      <c r="E766" s="20"/>
      <c r="F766" s="21"/>
    </row>
    <row r="767" ht="15.75" customHeight="1">
      <c r="D767" s="20"/>
      <c r="E767" s="20"/>
      <c r="F767" s="21"/>
    </row>
    <row r="768" ht="15.75" customHeight="1">
      <c r="D768" s="20"/>
      <c r="E768" s="20"/>
      <c r="F768" s="21"/>
    </row>
    <row r="769" ht="15.75" customHeight="1">
      <c r="D769" s="20"/>
      <c r="E769" s="20"/>
      <c r="F769" s="21"/>
    </row>
    <row r="770" ht="15.75" customHeight="1">
      <c r="D770" s="20"/>
      <c r="E770" s="20"/>
      <c r="F770" s="21"/>
    </row>
    <row r="771" ht="15.75" customHeight="1">
      <c r="D771" s="20"/>
      <c r="E771" s="20"/>
      <c r="F771" s="21"/>
    </row>
    <row r="772" ht="15.75" customHeight="1">
      <c r="D772" s="20"/>
      <c r="E772" s="20"/>
      <c r="F772" s="21"/>
    </row>
    <row r="773" ht="15.75" customHeight="1">
      <c r="D773" s="20"/>
      <c r="E773" s="20"/>
      <c r="F773" s="21"/>
    </row>
    <row r="774" ht="15.75" customHeight="1">
      <c r="D774" s="20"/>
      <c r="E774" s="20"/>
      <c r="F774" s="21"/>
    </row>
    <row r="775" ht="15.75" customHeight="1">
      <c r="D775" s="20"/>
      <c r="E775" s="20"/>
      <c r="F775" s="21"/>
    </row>
    <row r="776" ht="15.75" customHeight="1">
      <c r="D776" s="20"/>
      <c r="E776" s="20"/>
      <c r="F776" s="21"/>
    </row>
    <row r="777" ht="15.75" customHeight="1">
      <c r="D777" s="20"/>
      <c r="E777" s="20"/>
      <c r="F777" s="21"/>
    </row>
    <row r="778" ht="15.75" customHeight="1">
      <c r="D778" s="20"/>
      <c r="E778" s="20"/>
      <c r="F778" s="21"/>
    </row>
    <row r="779" ht="15.75" customHeight="1">
      <c r="D779" s="20"/>
      <c r="E779" s="20"/>
      <c r="F779" s="21"/>
    </row>
    <row r="780" ht="15.75" customHeight="1">
      <c r="D780" s="20"/>
      <c r="E780" s="20"/>
      <c r="F780" s="21"/>
    </row>
    <row r="781" ht="15.75" customHeight="1">
      <c r="D781" s="20"/>
      <c r="E781" s="20"/>
      <c r="F781" s="21"/>
    </row>
    <row r="782" ht="15.75" customHeight="1">
      <c r="D782" s="20"/>
      <c r="E782" s="20"/>
      <c r="F782" s="21"/>
    </row>
    <row r="783" ht="15.75" customHeight="1">
      <c r="D783" s="20"/>
      <c r="E783" s="20"/>
      <c r="F783" s="21"/>
    </row>
    <row r="784" ht="15.75" customHeight="1">
      <c r="D784" s="20"/>
      <c r="E784" s="20"/>
      <c r="F784" s="21"/>
    </row>
    <row r="785" ht="15.75" customHeight="1">
      <c r="D785" s="20"/>
      <c r="E785" s="20"/>
      <c r="F785" s="21"/>
    </row>
    <row r="786" ht="15.75" customHeight="1">
      <c r="D786" s="20"/>
      <c r="E786" s="20"/>
      <c r="F786" s="21"/>
    </row>
    <row r="787" ht="15.75" customHeight="1">
      <c r="D787" s="20"/>
      <c r="E787" s="20"/>
      <c r="F787" s="21"/>
    </row>
    <row r="788" ht="15.75" customHeight="1">
      <c r="D788" s="20"/>
      <c r="E788" s="20"/>
      <c r="F788" s="21"/>
    </row>
    <row r="789" ht="15.75" customHeight="1">
      <c r="D789" s="20"/>
      <c r="E789" s="20"/>
      <c r="F789" s="21"/>
    </row>
    <row r="790" ht="15.75" customHeight="1">
      <c r="D790" s="20"/>
      <c r="E790" s="20"/>
      <c r="F790" s="21"/>
    </row>
    <row r="791" ht="15.75" customHeight="1">
      <c r="D791" s="20"/>
      <c r="E791" s="20"/>
      <c r="F791" s="21"/>
    </row>
    <row r="792" ht="15.75" customHeight="1">
      <c r="D792" s="20"/>
      <c r="E792" s="20"/>
      <c r="F792" s="21"/>
    </row>
    <row r="793" ht="15.75" customHeight="1">
      <c r="D793" s="20"/>
      <c r="E793" s="20"/>
      <c r="F793" s="21"/>
    </row>
    <row r="794" ht="15.75" customHeight="1">
      <c r="D794" s="20"/>
      <c r="E794" s="20"/>
      <c r="F794" s="21"/>
    </row>
    <row r="795" ht="15.75" customHeight="1">
      <c r="D795" s="20"/>
      <c r="E795" s="20"/>
      <c r="F795" s="21"/>
    </row>
    <row r="796" ht="15.75" customHeight="1">
      <c r="D796" s="20"/>
      <c r="E796" s="20"/>
      <c r="F796" s="21"/>
    </row>
    <row r="797" ht="15.75" customHeight="1">
      <c r="D797" s="20"/>
      <c r="E797" s="20"/>
      <c r="F797" s="21"/>
    </row>
    <row r="798" ht="15.75" customHeight="1">
      <c r="D798" s="20"/>
      <c r="E798" s="20"/>
      <c r="F798" s="21"/>
    </row>
    <row r="799" ht="15.75" customHeight="1">
      <c r="D799" s="20"/>
      <c r="E799" s="20"/>
      <c r="F799" s="21"/>
    </row>
    <row r="800" ht="15.75" customHeight="1">
      <c r="D800" s="20"/>
      <c r="E800" s="20"/>
      <c r="F800" s="21"/>
    </row>
    <row r="801" ht="15.75" customHeight="1">
      <c r="D801" s="20"/>
      <c r="E801" s="20"/>
      <c r="F801" s="21"/>
    </row>
    <row r="802" ht="15.75" customHeight="1">
      <c r="D802" s="20"/>
      <c r="E802" s="20"/>
      <c r="F802" s="21"/>
    </row>
    <row r="803" ht="15.75" customHeight="1">
      <c r="D803" s="20"/>
      <c r="E803" s="20"/>
      <c r="F803" s="21"/>
    </row>
    <row r="804" ht="15.75" customHeight="1">
      <c r="D804" s="20"/>
      <c r="E804" s="20"/>
      <c r="F804" s="21"/>
    </row>
    <row r="805" ht="15.75" customHeight="1">
      <c r="D805" s="20"/>
      <c r="E805" s="20"/>
      <c r="F805" s="21"/>
    </row>
    <row r="806" ht="15.75" customHeight="1">
      <c r="D806" s="20"/>
      <c r="E806" s="20"/>
      <c r="F806" s="21"/>
    </row>
    <row r="807" ht="15.75" customHeight="1">
      <c r="D807" s="20"/>
      <c r="E807" s="20"/>
      <c r="F807" s="21"/>
    </row>
    <row r="808" ht="15.75" customHeight="1">
      <c r="D808" s="20"/>
      <c r="E808" s="20"/>
      <c r="F808" s="21"/>
    </row>
    <row r="809" ht="15.75" customHeight="1">
      <c r="D809" s="20"/>
      <c r="E809" s="20"/>
      <c r="F809" s="21"/>
    </row>
    <row r="810" ht="15.75" customHeight="1">
      <c r="D810" s="20"/>
      <c r="E810" s="20"/>
      <c r="F810" s="21"/>
    </row>
    <row r="811" ht="15.75" customHeight="1">
      <c r="D811" s="20"/>
      <c r="E811" s="20"/>
      <c r="F811" s="21"/>
    </row>
    <row r="812" ht="15.75" customHeight="1">
      <c r="D812" s="20"/>
      <c r="E812" s="20"/>
      <c r="F812" s="21"/>
    </row>
    <row r="813" ht="15.75" customHeight="1">
      <c r="D813" s="20"/>
      <c r="E813" s="20"/>
      <c r="F813" s="21"/>
    </row>
    <row r="814" ht="15.75" customHeight="1">
      <c r="D814" s="20"/>
      <c r="E814" s="20"/>
      <c r="F814" s="21"/>
    </row>
    <row r="815" ht="15.75" customHeight="1">
      <c r="D815" s="20"/>
      <c r="E815" s="20"/>
      <c r="F815" s="21"/>
    </row>
    <row r="816" ht="15.75" customHeight="1">
      <c r="D816" s="20"/>
      <c r="E816" s="20"/>
      <c r="F816" s="21"/>
    </row>
    <row r="817" ht="15.75" customHeight="1">
      <c r="D817" s="20"/>
      <c r="E817" s="20"/>
      <c r="F817" s="21"/>
    </row>
    <row r="818" ht="15.75" customHeight="1">
      <c r="D818" s="20"/>
      <c r="E818" s="20"/>
      <c r="F818" s="21"/>
    </row>
    <row r="819" ht="15.75" customHeight="1">
      <c r="D819" s="20"/>
      <c r="E819" s="20"/>
      <c r="F819" s="21"/>
    </row>
    <row r="820" ht="15.75" customHeight="1">
      <c r="D820" s="20"/>
      <c r="E820" s="20"/>
      <c r="F820" s="21"/>
    </row>
    <row r="821" ht="15.75" customHeight="1">
      <c r="D821" s="20"/>
      <c r="E821" s="20"/>
      <c r="F821" s="21"/>
    </row>
    <row r="822" ht="15.75" customHeight="1">
      <c r="D822" s="20"/>
      <c r="E822" s="20"/>
      <c r="F822" s="21"/>
    </row>
    <row r="823" ht="15.75" customHeight="1">
      <c r="D823" s="20"/>
      <c r="E823" s="20"/>
      <c r="F823" s="21"/>
    </row>
    <row r="824" ht="15.75" customHeight="1">
      <c r="D824" s="20"/>
      <c r="E824" s="20"/>
      <c r="F824" s="21"/>
    </row>
    <row r="825" ht="15.75" customHeight="1">
      <c r="D825" s="20"/>
      <c r="E825" s="20"/>
      <c r="F825" s="21"/>
    </row>
    <row r="826" ht="15.75" customHeight="1">
      <c r="D826" s="20"/>
      <c r="E826" s="20"/>
      <c r="F826" s="21"/>
    </row>
    <row r="827" ht="15.75" customHeight="1">
      <c r="D827" s="20"/>
      <c r="E827" s="20"/>
      <c r="F827" s="21"/>
    </row>
    <row r="828" ht="15.75" customHeight="1">
      <c r="D828" s="20"/>
      <c r="E828" s="20"/>
      <c r="F828" s="21"/>
    </row>
    <row r="829" ht="15.75" customHeight="1">
      <c r="D829" s="20"/>
      <c r="E829" s="20"/>
      <c r="F829" s="21"/>
    </row>
    <row r="830" ht="15.75" customHeight="1">
      <c r="D830" s="20"/>
      <c r="E830" s="20"/>
      <c r="F830" s="21"/>
    </row>
    <row r="831" ht="15.75" customHeight="1">
      <c r="D831" s="20"/>
      <c r="E831" s="20"/>
      <c r="F831" s="21"/>
    </row>
    <row r="832" ht="15.75" customHeight="1">
      <c r="D832" s="20"/>
      <c r="E832" s="20"/>
      <c r="F832" s="21"/>
    </row>
    <row r="833" ht="15.75" customHeight="1">
      <c r="D833" s="20"/>
      <c r="E833" s="20"/>
      <c r="F833" s="21"/>
    </row>
    <row r="834" ht="15.75" customHeight="1">
      <c r="D834" s="20"/>
      <c r="E834" s="20"/>
      <c r="F834" s="21"/>
    </row>
    <row r="835" ht="15.75" customHeight="1">
      <c r="D835" s="20"/>
      <c r="E835" s="20"/>
      <c r="F835" s="21"/>
    </row>
    <row r="836" ht="15.75" customHeight="1">
      <c r="D836" s="20"/>
      <c r="E836" s="20"/>
      <c r="F836" s="21"/>
    </row>
    <row r="837" ht="15.75" customHeight="1">
      <c r="D837" s="20"/>
      <c r="E837" s="20"/>
      <c r="F837" s="21"/>
    </row>
    <row r="838" ht="15.75" customHeight="1">
      <c r="D838" s="20"/>
      <c r="E838" s="20"/>
      <c r="F838" s="21"/>
    </row>
    <row r="839" ht="15.75" customHeight="1">
      <c r="D839" s="20"/>
      <c r="E839" s="20"/>
      <c r="F839" s="21"/>
    </row>
    <row r="840" ht="15.75" customHeight="1">
      <c r="D840" s="20"/>
      <c r="E840" s="20"/>
      <c r="F840" s="21"/>
    </row>
    <row r="841" ht="15.75" customHeight="1">
      <c r="D841" s="20"/>
      <c r="E841" s="20"/>
      <c r="F841" s="21"/>
    </row>
    <row r="842" ht="15.75" customHeight="1">
      <c r="D842" s="20"/>
      <c r="E842" s="20"/>
      <c r="F842" s="21"/>
    </row>
    <row r="843" ht="15.75" customHeight="1">
      <c r="D843" s="20"/>
      <c r="E843" s="20"/>
      <c r="F843" s="21"/>
    </row>
    <row r="844" ht="15.75" customHeight="1">
      <c r="D844" s="20"/>
      <c r="E844" s="20"/>
      <c r="F844" s="21"/>
    </row>
    <row r="845" ht="15.75" customHeight="1">
      <c r="D845" s="20"/>
      <c r="E845" s="20"/>
      <c r="F845" s="21"/>
    </row>
    <row r="846" ht="15.75" customHeight="1">
      <c r="D846" s="20"/>
      <c r="E846" s="20"/>
      <c r="F846" s="21"/>
    </row>
    <row r="847" ht="15.75" customHeight="1">
      <c r="D847" s="20"/>
      <c r="E847" s="20"/>
      <c r="F847" s="21"/>
    </row>
    <row r="848" ht="15.75" customHeight="1">
      <c r="D848" s="20"/>
      <c r="E848" s="20"/>
      <c r="F848" s="21"/>
    </row>
    <row r="849" ht="15.75" customHeight="1">
      <c r="D849" s="20"/>
      <c r="E849" s="20"/>
      <c r="F849" s="21"/>
    </row>
    <row r="850" ht="15.75" customHeight="1">
      <c r="D850" s="20"/>
      <c r="E850" s="20"/>
      <c r="F850" s="21"/>
    </row>
    <row r="851" ht="15.75" customHeight="1">
      <c r="D851" s="20"/>
      <c r="E851" s="20"/>
      <c r="F851" s="21"/>
    </row>
    <row r="852" ht="15.75" customHeight="1">
      <c r="D852" s="20"/>
      <c r="E852" s="20"/>
      <c r="F852" s="21"/>
    </row>
    <row r="853" ht="15.75" customHeight="1">
      <c r="D853" s="20"/>
      <c r="E853" s="20"/>
      <c r="F853" s="21"/>
    </row>
    <row r="854" ht="15.75" customHeight="1">
      <c r="D854" s="20"/>
      <c r="E854" s="20"/>
      <c r="F854" s="21"/>
    </row>
    <row r="855" ht="15.75" customHeight="1">
      <c r="D855" s="20"/>
      <c r="E855" s="20"/>
      <c r="F855" s="21"/>
    </row>
    <row r="856" ht="15.75" customHeight="1">
      <c r="D856" s="20"/>
      <c r="E856" s="20"/>
      <c r="F856" s="21"/>
    </row>
    <row r="857" ht="15.75" customHeight="1">
      <c r="D857" s="20"/>
      <c r="E857" s="20"/>
      <c r="F857" s="21"/>
    </row>
    <row r="858" ht="15.75" customHeight="1">
      <c r="D858" s="20"/>
      <c r="E858" s="20"/>
      <c r="F858" s="21"/>
    </row>
    <row r="859" ht="15.75" customHeight="1">
      <c r="D859" s="20"/>
      <c r="E859" s="20"/>
      <c r="F859" s="21"/>
    </row>
    <row r="860" ht="15.75" customHeight="1">
      <c r="D860" s="20"/>
      <c r="E860" s="20"/>
      <c r="F860" s="21"/>
    </row>
    <row r="861" ht="15.75" customHeight="1">
      <c r="D861" s="20"/>
      <c r="E861" s="20"/>
      <c r="F861" s="21"/>
    </row>
    <row r="862" ht="15.75" customHeight="1">
      <c r="D862" s="20"/>
      <c r="E862" s="20"/>
      <c r="F862" s="21"/>
    </row>
    <row r="863" ht="15.75" customHeight="1">
      <c r="D863" s="20"/>
      <c r="E863" s="20"/>
      <c r="F863" s="21"/>
    </row>
    <row r="864" ht="15.75" customHeight="1">
      <c r="D864" s="20"/>
      <c r="E864" s="20"/>
      <c r="F864" s="21"/>
    </row>
    <row r="865" ht="15.75" customHeight="1">
      <c r="D865" s="20"/>
      <c r="E865" s="20"/>
      <c r="F865" s="21"/>
    </row>
    <row r="866" ht="15.75" customHeight="1">
      <c r="D866" s="20"/>
      <c r="E866" s="20"/>
      <c r="F866" s="21"/>
    </row>
    <row r="867" ht="15.75" customHeight="1">
      <c r="D867" s="20"/>
      <c r="E867" s="20"/>
      <c r="F867" s="21"/>
    </row>
    <row r="868" ht="15.75" customHeight="1">
      <c r="D868" s="20"/>
      <c r="E868" s="20"/>
      <c r="F868" s="21"/>
    </row>
    <row r="869" ht="15.75" customHeight="1">
      <c r="D869" s="20"/>
      <c r="E869" s="20"/>
      <c r="F869" s="21"/>
    </row>
    <row r="870" ht="15.75" customHeight="1">
      <c r="D870" s="20"/>
      <c r="E870" s="20"/>
      <c r="F870" s="21"/>
    </row>
    <row r="871" ht="15.75" customHeight="1">
      <c r="D871" s="20"/>
      <c r="E871" s="20"/>
      <c r="F871" s="21"/>
    </row>
    <row r="872" ht="15.75" customHeight="1">
      <c r="D872" s="20"/>
      <c r="E872" s="20"/>
      <c r="F872" s="21"/>
    </row>
    <row r="873" ht="15.75" customHeight="1">
      <c r="D873" s="20"/>
      <c r="E873" s="20"/>
      <c r="F873" s="21"/>
    </row>
    <row r="874" ht="15.75" customHeight="1">
      <c r="D874" s="20"/>
      <c r="E874" s="20"/>
      <c r="F874" s="21"/>
    </row>
    <row r="875" ht="15.75" customHeight="1">
      <c r="D875" s="20"/>
      <c r="E875" s="20"/>
      <c r="F875" s="21"/>
    </row>
    <row r="876" ht="15.75" customHeight="1">
      <c r="D876" s="20"/>
      <c r="E876" s="20"/>
      <c r="F876" s="21"/>
    </row>
    <row r="877" ht="15.75" customHeight="1">
      <c r="D877" s="20"/>
      <c r="E877" s="20"/>
      <c r="F877" s="21"/>
    </row>
    <row r="878" ht="15.75" customHeight="1">
      <c r="D878" s="20"/>
      <c r="E878" s="20"/>
      <c r="F878" s="21"/>
    </row>
    <row r="879" ht="15.75" customHeight="1">
      <c r="D879" s="20"/>
      <c r="E879" s="20"/>
      <c r="F879" s="21"/>
    </row>
    <row r="880" ht="15.75" customHeight="1">
      <c r="D880" s="20"/>
      <c r="E880" s="20"/>
      <c r="F880" s="21"/>
    </row>
    <row r="881" ht="15.75" customHeight="1">
      <c r="D881" s="20"/>
      <c r="E881" s="20"/>
      <c r="F881" s="21"/>
    </row>
    <row r="882" ht="15.75" customHeight="1">
      <c r="D882" s="20"/>
      <c r="E882" s="20"/>
      <c r="F882" s="21"/>
    </row>
    <row r="883" ht="15.75" customHeight="1">
      <c r="D883" s="20"/>
      <c r="E883" s="20"/>
      <c r="F883" s="21"/>
    </row>
    <row r="884" ht="15.75" customHeight="1">
      <c r="D884" s="20"/>
      <c r="E884" s="20"/>
      <c r="F884" s="21"/>
    </row>
    <row r="885" ht="15.75" customHeight="1">
      <c r="D885" s="20"/>
      <c r="E885" s="20"/>
      <c r="F885" s="21"/>
    </row>
    <row r="886" ht="15.75" customHeight="1">
      <c r="D886" s="20"/>
      <c r="E886" s="20"/>
      <c r="F886" s="21"/>
    </row>
    <row r="887" ht="15.75" customHeight="1">
      <c r="D887" s="20"/>
      <c r="E887" s="20"/>
      <c r="F887" s="21"/>
    </row>
    <row r="888" ht="15.75" customHeight="1">
      <c r="D888" s="20"/>
      <c r="E888" s="20"/>
      <c r="F888" s="21"/>
    </row>
    <row r="889" ht="15.75" customHeight="1">
      <c r="D889" s="20"/>
      <c r="E889" s="20"/>
      <c r="F889" s="21"/>
    </row>
    <row r="890" ht="15.75" customHeight="1">
      <c r="D890" s="20"/>
      <c r="E890" s="20"/>
      <c r="F890" s="21"/>
    </row>
    <row r="891" ht="15.75" customHeight="1">
      <c r="D891" s="20"/>
      <c r="E891" s="20"/>
      <c r="F891" s="21"/>
    </row>
    <row r="892" ht="15.75" customHeight="1">
      <c r="D892" s="20"/>
      <c r="E892" s="20"/>
      <c r="F892" s="21"/>
    </row>
    <row r="893" ht="15.75" customHeight="1">
      <c r="D893" s="20"/>
      <c r="E893" s="20"/>
      <c r="F893" s="21"/>
    </row>
    <row r="894" ht="15.75" customHeight="1">
      <c r="D894" s="20"/>
      <c r="E894" s="20"/>
      <c r="F894" s="21"/>
    </row>
    <row r="895" ht="15.75" customHeight="1">
      <c r="D895" s="20"/>
      <c r="E895" s="20"/>
      <c r="F895" s="21"/>
    </row>
    <row r="896" ht="15.75" customHeight="1">
      <c r="D896" s="20"/>
      <c r="E896" s="20"/>
      <c r="F896" s="21"/>
    </row>
    <row r="897" ht="15.75" customHeight="1">
      <c r="D897" s="20"/>
      <c r="E897" s="20"/>
      <c r="F897" s="21"/>
    </row>
    <row r="898" ht="15.75" customHeight="1">
      <c r="D898" s="20"/>
      <c r="E898" s="20"/>
      <c r="F898" s="21"/>
    </row>
    <row r="899" ht="15.75" customHeight="1">
      <c r="D899" s="20"/>
      <c r="E899" s="20"/>
      <c r="F899" s="21"/>
    </row>
    <row r="900" ht="15.75" customHeight="1">
      <c r="D900" s="20"/>
      <c r="E900" s="20"/>
      <c r="F900" s="21"/>
    </row>
    <row r="901" ht="15.75" customHeight="1">
      <c r="D901" s="20"/>
      <c r="E901" s="20"/>
      <c r="F901" s="21"/>
    </row>
    <row r="902" ht="15.75" customHeight="1">
      <c r="D902" s="20"/>
      <c r="E902" s="20"/>
      <c r="F902" s="21"/>
    </row>
    <row r="903" ht="15.75" customHeight="1">
      <c r="D903" s="20"/>
      <c r="E903" s="20"/>
      <c r="F903" s="21"/>
    </row>
    <row r="904" ht="15.75" customHeight="1">
      <c r="D904" s="20"/>
      <c r="E904" s="20"/>
      <c r="F904" s="21"/>
    </row>
    <row r="905" ht="15.75" customHeight="1">
      <c r="D905" s="20"/>
      <c r="E905" s="20"/>
      <c r="F905" s="21"/>
    </row>
    <row r="906" ht="15.75" customHeight="1">
      <c r="D906" s="20"/>
      <c r="E906" s="20"/>
      <c r="F906" s="21"/>
    </row>
    <row r="907" ht="15.75" customHeight="1">
      <c r="D907" s="20"/>
      <c r="E907" s="20"/>
      <c r="F907" s="21"/>
    </row>
    <row r="908" ht="15.75" customHeight="1">
      <c r="D908" s="20"/>
      <c r="E908" s="20"/>
      <c r="F908" s="21"/>
    </row>
    <row r="909" ht="15.75" customHeight="1">
      <c r="D909" s="20"/>
      <c r="E909" s="20"/>
      <c r="F909" s="21"/>
    </row>
    <row r="910" ht="15.75" customHeight="1">
      <c r="D910" s="20"/>
      <c r="E910" s="20"/>
      <c r="F910" s="21"/>
    </row>
    <row r="911" ht="15.75" customHeight="1">
      <c r="D911" s="20"/>
      <c r="E911" s="20"/>
      <c r="F911" s="21"/>
    </row>
    <row r="912" ht="15.75" customHeight="1">
      <c r="D912" s="20"/>
      <c r="E912" s="20"/>
      <c r="F912" s="21"/>
    </row>
    <row r="913" ht="15.75" customHeight="1">
      <c r="D913" s="20"/>
      <c r="E913" s="20"/>
      <c r="F913" s="21"/>
    </row>
    <row r="914" ht="15.75" customHeight="1">
      <c r="D914" s="20"/>
      <c r="E914" s="20"/>
      <c r="F914" s="21"/>
    </row>
    <row r="915" ht="15.75" customHeight="1">
      <c r="D915" s="20"/>
      <c r="E915" s="20"/>
      <c r="F915" s="21"/>
    </row>
    <row r="916" ht="15.75" customHeight="1">
      <c r="D916" s="20"/>
      <c r="E916" s="20"/>
      <c r="F916" s="21"/>
    </row>
    <row r="917" ht="15.75" customHeight="1">
      <c r="D917" s="20"/>
      <c r="E917" s="20"/>
      <c r="F917" s="21"/>
    </row>
    <row r="918" ht="15.75" customHeight="1">
      <c r="D918" s="20"/>
      <c r="E918" s="20"/>
      <c r="F918" s="21"/>
    </row>
    <row r="919" ht="15.75" customHeight="1">
      <c r="D919" s="20"/>
      <c r="E919" s="20"/>
      <c r="F919" s="21"/>
    </row>
    <row r="920" ht="15.75" customHeight="1">
      <c r="D920" s="20"/>
      <c r="E920" s="20"/>
      <c r="F920" s="21"/>
    </row>
    <row r="921" ht="15.75" customHeight="1">
      <c r="D921" s="20"/>
      <c r="E921" s="20"/>
      <c r="F921" s="21"/>
    </row>
    <row r="922" ht="15.75" customHeight="1">
      <c r="D922" s="20"/>
      <c r="E922" s="20"/>
      <c r="F922" s="21"/>
    </row>
    <row r="923" ht="15.75" customHeight="1">
      <c r="D923" s="20"/>
      <c r="E923" s="20"/>
      <c r="F923" s="21"/>
    </row>
    <row r="924" ht="15.75" customHeight="1">
      <c r="D924" s="20"/>
      <c r="E924" s="20"/>
      <c r="F924" s="21"/>
    </row>
    <row r="925" ht="15.75" customHeight="1">
      <c r="D925" s="20"/>
      <c r="E925" s="20"/>
      <c r="F925" s="21"/>
    </row>
    <row r="926" ht="15.75" customHeight="1">
      <c r="D926" s="20"/>
      <c r="E926" s="20"/>
      <c r="F926" s="21"/>
    </row>
    <row r="927" ht="15.75" customHeight="1">
      <c r="D927" s="20"/>
      <c r="E927" s="20"/>
      <c r="F927" s="21"/>
    </row>
    <row r="928" ht="15.75" customHeight="1">
      <c r="D928" s="20"/>
      <c r="E928" s="20"/>
      <c r="F928" s="21"/>
    </row>
    <row r="929" ht="15.75" customHeight="1">
      <c r="D929" s="20"/>
      <c r="E929" s="20"/>
      <c r="F929" s="21"/>
    </row>
    <row r="930" ht="15.75" customHeight="1">
      <c r="D930" s="20"/>
      <c r="E930" s="20"/>
      <c r="F930" s="21"/>
    </row>
    <row r="931" ht="15.75" customHeight="1">
      <c r="D931" s="20"/>
      <c r="E931" s="20"/>
      <c r="F931" s="21"/>
    </row>
    <row r="932" ht="15.75" customHeight="1">
      <c r="D932" s="20"/>
      <c r="E932" s="20"/>
      <c r="F932" s="21"/>
    </row>
    <row r="933" ht="15.75" customHeight="1">
      <c r="D933" s="20"/>
      <c r="E933" s="20"/>
      <c r="F933" s="21"/>
    </row>
    <row r="934" ht="15.75" customHeight="1">
      <c r="D934" s="20"/>
      <c r="E934" s="20"/>
      <c r="F934" s="21"/>
    </row>
    <row r="935" ht="15.75" customHeight="1">
      <c r="D935" s="20"/>
      <c r="E935" s="20"/>
      <c r="F935" s="21"/>
    </row>
    <row r="936" ht="15.75" customHeight="1">
      <c r="D936" s="20"/>
      <c r="E936" s="20"/>
      <c r="F936" s="21"/>
    </row>
    <row r="937" ht="15.75" customHeight="1">
      <c r="D937" s="20"/>
      <c r="E937" s="20"/>
      <c r="F937" s="21"/>
    </row>
    <row r="938" ht="15.75" customHeight="1">
      <c r="D938" s="20"/>
      <c r="E938" s="20"/>
      <c r="F938" s="21"/>
    </row>
    <row r="939" ht="15.75" customHeight="1">
      <c r="D939" s="20"/>
      <c r="E939" s="20"/>
      <c r="F939" s="21"/>
    </row>
    <row r="940" ht="15.75" customHeight="1">
      <c r="D940" s="20"/>
      <c r="E940" s="20"/>
      <c r="F940" s="21"/>
    </row>
    <row r="941" ht="15.75" customHeight="1">
      <c r="D941" s="20"/>
      <c r="E941" s="20"/>
      <c r="F941" s="21"/>
    </row>
    <row r="942" ht="15.75" customHeight="1">
      <c r="D942" s="20"/>
      <c r="E942" s="20"/>
      <c r="F942" s="21"/>
    </row>
    <row r="943" ht="15.75" customHeight="1">
      <c r="D943" s="20"/>
      <c r="E943" s="20"/>
      <c r="F943" s="21"/>
    </row>
    <row r="944" ht="15.75" customHeight="1">
      <c r="D944" s="20"/>
      <c r="E944" s="20"/>
      <c r="F944" s="21"/>
    </row>
    <row r="945" ht="15.75" customHeight="1">
      <c r="D945" s="20"/>
      <c r="E945" s="20"/>
      <c r="F945" s="21"/>
    </row>
    <row r="946" ht="15.75" customHeight="1">
      <c r="D946" s="20"/>
      <c r="E946" s="20"/>
      <c r="F946" s="21"/>
    </row>
    <row r="947" ht="15.75" customHeight="1">
      <c r="D947" s="20"/>
      <c r="E947" s="20"/>
      <c r="F947" s="21"/>
    </row>
    <row r="948" ht="15.75" customHeight="1">
      <c r="D948" s="20"/>
      <c r="E948" s="20"/>
      <c r="F948" s="21"/>
    </row>
    <row r="949" ht="15.75" customHeight="1">
      <c r="D949" s="20"/>
      <c r="E949" s="20"/>
      <c r="F949" s="21"/>
    </row>
    <row r="950" ht="15.75" customHeight="1">
      <c r="D950" s="20"/>
      <c r="E950" s="20"/>
      <c r="F950" s="21"/>
    </row>
    <row r="951" ht="15.75" customHeight="1">
      <c r="D951" s="20"/>
      <c r="E951" s="20"/>
      <c r="F951" s="21"/>
    </row>
    <row r="952" ht="15.75" customHeight="1">
      <c r="D952" s="20"/>
      <c r="E952" s="20"/>
      <c r="F952" s="21"/>
    </row>
    <row r="953" ht="15.75" customHeight="1">
      <c r="D953" s="20"/>
      <c r="E953" s="20"/>
      <c r="F953" s="21"/>
    </row>
    <row r="954" ht="15.75" customHeight="1">
      <c r="D954" s="20"/>
      <c r="E954" s="20"/>
      <c r="F954" s="21"/>
    </row>
    <row r="955" ht="15.75" customHeight="1">
      <c r="D955" s="20"/>
      <c r="E955" s="20"/>
      <c r="F955" s="21"/>
    </row>
    <row r="956" ht="15.75" customHeight="1">
      <c r="D956" s="20"/>
      <c r="E956" s="20"/>
      <c r="F956" s="21"/>
    </row>
    <row r="957" ht="15.75" customHeight="1">
      <c r="D957" s="20"/>
      <c r="E957" s="20"/>
      <c r="F957" s="21"/>
    </row>
    <row r="958" ht="15.75" customHeight="1">
      <c r="D958" s="20"/>
      <c r="E958" s="20"/>
      <c r="F958" s="21"/>
    </row>
    <row r="959" ht="15.75" customHeight="1">
      <c r="D959" s="20"/>
      <c r="E959" s="20"/>
      <c r="F959" s="21"/>
    </row>
    <row r="960" ht="15.75" customHeight="1">
      <c r="D960" s="20"/>
      <c r="E960" s="20"/>
      <c r="F960" s="21"/>
    </row>
    <row r="961" ht="15.75" customHeight="1">
      <c r="D961" s="20"/>
      <c r="E961" s="20"/>
      <c r="F961" s="21"/>
    </row>
    <row r="962" ht="15.75" customHeight="1">
      <c r="D962" s="20"/>
      <c r="E962" s="20"/>
      <c r="F962" s="21"/>
    </row>
    <row r="963" ht="15.75" customHeight="1">
      <c r="D963" s="20"/>
      <c r="E963" s="20"/>
      <c r="F963" s="21"/>
    </row>
    <row r="964" ht="15.75" customHeight="1">
      <c r="D964" s="20"/>
      <c r="E964" s="20"/>
      <c r="F964" s="21"/>
    </row>
    <row r="965" ht="15.75" customHeight="1">
      <c r="D965" s="20"/>
      <c r="E965" s="20"/>
      <c r="F965" s="21"/>
    </row>
    <row r="966" ht="15.75" customHeight="1">
      <c r="D966" s="20"/>
      <c r="E966" s="20"/>
      <c r="F966" s="21"/>
    </row>
    <row r="967" ht="15.75" customHeight="1">
      <c r="D967" s="20"/>
      <c r="E967" s="20"/>
      <c r="F967" s="21"/>
    </row>
    <row r="968" ht="15.75" customHeight="1">
      <c r="D968" s="20"/>
      <c r="E968" s="20"/>
      <c r="F968" s="21"/>
    </row>
    <row r="969" ht="15.75" customHeight="1">
      <c r="D969" s="20"/>
      <c r="E969" s="20"/>
      <c r="F969" s="21"/>
    </row>
    <row r="970" ht="15.75" customHeight="1">
      <c r="D970" s="20"/>
      <c r="E970" s="20"/>
      <c r="F970" s="21"/>
    </row>
    <row r="971" ht="15.75" customHeight="1">
      <c r="D971" s="20"/>
      <c r="E971" s="20"/>
      <c r="F971" s="21"/>
    </row>
    <row r="972" ht="15.75" customHeight="1">
      <c r="D972" s="20"/>
      <c r="E972" s="20"/>
      <c r="F972" s="21"/>
    </row>
    <row r="973" ht="15.75" customHeight="1">
      <c r="D973" s="20"/>
      <c r="E973" s="20"/>
      <c r="F973" s="21"/>
    </row>
    <row r="974" ht="15.75" customHeight="1">
      <c r="D974" s="20"/>
      <c r="E974" s="20"/>
      <c r="F974" s="21"/>
    </row>
    <row r="975" ht="15.75" customHeight="1">
      <c r="D975" s="20"/>
      <c r="E975" s="20"/>
      <c r="F975" s="21"/>
    </row>
    <row r="976" ht="15.75" customHeight="1">
      <c r="D976" s="20"/>
      <c r="E976" s="20"/>
      <c r="F976" s="21"/>
    </row>
    <row r="977" ht="15.75" customHeight="1">
      <c r="D977" s="20"/>
      <c r="E977" s="20"/>
      <c r="F977" s="21"/>
    </row>
    <row r="978" ht="15.75" customHeight="1">
      <c r="D978" s="20"/>
      <c r="E978" s="20"/>
      <c r="F978" s="21"/>
    </row>
    <row r="979" ht="15.75" customHeight="1">
      <c r="D979" s="20"/>
      <c r="E979" s="20"/>
      <c r="F979" s="21"/>
    </row>
    <row r="980" ht="15.75" customHeight="1">
      <c r="D980" s="20"/>
      <c r="E980" s="20"/>
      <c r="F980" s="21"/>
    </row>
    <row r="981" ht="15.75" customHeight="1">
      <c r="D981" s="20"/>
      <c r="E981" s="20"/>
      <c r="F981" s="21"/>
    </row>
    <row r="982" ht="15.75" customHeight="1">
      <c r="D982" s="20"/>
      <c r="E982" s="20"/>
      <c r="F982" s="21"/>
    </row>
    <row r="983" ht="15.75" customHeight="1">
      <c r="D983" s="20"/>
      <c r="E983" s="20"/>
      <c r="F983" s="21"/>
    </row>
    <row r="984" ht="15.75" customHeight="1">
      <c r="D984" s="20"/>
      <c r="E984" s="20"/>
      <c r="F984" s="21"/>
    </row>
    <row r="985" ht="15.75" customHeight="1">
      <c r="D985" s="20"/>
      <c r="E985" s="20"/>
      <c r="F985" s="21"/>
    </row>
    <row r="986" ht="15.75" customHeight="1">
      <c r="D986" s="20"/>
      <c r="E986" s="20"/>
      <c r="F986" s="21"/>
    </row>
    <row r="987" ht="15.75" customHeight="1">
      <c r="D987" s="20"/>
      <c r="E987" s="20"/>
      <c r="F987" s="21"/>
    </row>
    <row r="988" ht="15.75" customHeight="1">
      <c r="D988" s="20"/>
      <c r="E988" s="20"/>
      <c r="F988" s="21"/>
    </row>
    <row r="989" ht="15.75" customHeight="1">
      <c r="D989" s="20"/>
      <c r="E989" s="20"/>
      <c r="F989" s="21"/>
    </row>
    <row r="990" ht="15.75" customHeight="1">
      <c r="D990" s="20"/>
      <c r="E990" s="20"/>
      <c r="F990" s="21"/>
    </row>
    <row r="991" ht="15.75" customHeight="1">
      <c r="D991" s="20"/>
      <c r="E991" s="20"/>
      <c r="F991" s="21"/>
    </row>
    <row r="992" ht="15.75" customHeight="1">
      <c r="D992" s="20"/>
      <c r="E992" s="20"/>
      <c r="F992" s="21"/>
    </row>
    <row r="993" ht="15.75" customHeight="1">
      <c r="D993" s="20"/>
      <c r="E993" s="20"/>
      <c r="F993" s="21"/>
    </row>
  </sheetData>
  <autoFilter ref="$A$1:$C$31"/>
  <conditionalFormatting sqref="V2:V31">
    <cfRule type="cellIs" dxfId="0" priority="1" operator="between">
      <formula>"90%"</formula>
      <formula>"94.99%"</formula>
    </cfRule>
  </conditionalFormatting>
  <conditionalFormatting sqref="V2:V31">
    <cfRule type="cellIs" dxfId="1" priority="2" operator="between">
      <formula>"80%"</formula>
      <formula>"90%"</formula>
    </cfRule>
  </conditionalFormatting>
  <conditionalFormatting sqref="V2:V31">
    <cfRule type="cellIs" dxfId="2" priority="3" operator="greaterThanOrEqual">
      <formula>"95%"</formula>
    </cfRule>
  </conditionalFormatting>
  <conditionalFormatting sqref="V2:V31">
    <cfRule type="cellIs" dxfId="3" priority="4" operator="lessThanOrEqual">
      <formula>"80%"</formula>
    </cfRule>
  </conditionalFormatting>
  <dataValidations>
    <dataValidation type="list" allowBlank="1" showErrorMessage="1" sqref="B2:B31">
      <formula1>"JC,DM,Tuner #3"</formula1>
    </dataValidation>
    <dataValidation type="list" allowBlank="1" showErrorMessage="1" sqref="C2:C31">
      <formula1>"MGB Synthetic,MGB Original,Mimic Original,MGB Synthetic Ignore,MGB w/o Labels Ignore"</formula1>
    </dataValidation>
  </dataValidations>
  <hyperlinks>
    <hyperlink r:id="rId2" ref="Y15"/>
    <hyperlink r:id="rId3" ref="Y17"/>
    <hyperlink r:id="rId4" ref="Y19"/>
    <hyperlink r:id="rId5" ref="Y21"/>
    <hyperlink r:id="rId6" ref="Y25"/>
    <hyperlink r:id="rId7" ref="Y27"/>
    <hyperlink r:id="rId8" ref="Y31"/>
  </hyperlinks>
  <drawing r:id="rId9"/>
  <legacy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38"/>
    <col customWidth="1" min="2" max="2" width="22.88"/>
    <col customWidth="1" min="3" max="5" width="21.38"/>
    <col customWidth="1" min="6" max="6" width="26.88"/>
    <col customWidth="1" min="7" max="7" width="18.25"/>
    <col customWidth="1" min="8" max="8" width="23.5"/>
    <col customWidth="1" min="9" max="9" width="15.5"/>
  </cols>
  <sheetData>
    <row r="1" ht="16.5" customHeight="1">
      <c r="A1" s="1" t="s">
        <v>0</v>
      </c>
      <c r="B1" s="1" t="s">
        <v>2</v>
      </c>
      <c r="C1" s="1" t="s">
        <v>171</v>
      </c>
      <c r="D1" s="1" t="s">
        <v>172</v>
      </c>
      <c r="E1" s="1" t="s">
        <v>173</v>
      </c>
      <c r="F1" s="2" t="s">
        <v>174</v>
      </c>
      <c r="G1" s="24" t="s">
        <v>175</v>
      </c>
      <c r="H1" s="1" t="s">
        <v>176</v>
      </c>
      <c r="I1" s="1" t="s">
        <v>177</v>
      </c>
    </row>
    <row r="2" ht="16.5" customHeight="1">
      <c r="A2" s="1" t="s">
        <v>27</v>
      </c>
      <c r="B2" s="4" t="s">
        <v>29</v>
      </c>
      <c r="C2" s="4" t="s">
        <v>178</v>
      </c>
      <c r="D2" s="4" t="s">
        <v>178</v>
      </c>
      <c r="E2" s="4" t="s">
        <v>178</v>
      </c>
      <c r="F2" s="5" t="s">
        <v>179</v>
      </c>
      <c r="G2" s="25">
        <v>2.0250901E7</v>
      </c>
    </row>
    <row r="3" ht="16.5" customHeight="1">
      <c r="A3" s="1" t="s">
        <v>44</v>
      </c>
      <c r="B3" s="4" t="s">
        <v>29</v>
      </c>
      <c r="C3" s="4" t="s">
        <v>178</v>
      </c>
      <c r="D3" s="4" t="s">
        <v>178</v>
      </c>
      <c r="E3" s="4" t="s">
        <v>178</v>
      </c>
      <c r="F3" s="5" t="s">
        <v>180</v>
      </c>
      <c r="G3" s="25">
        <v>2.0250901E7</v>
      </c>
    </row>
    <row r="4" ht="16.5" customHeight="1">
      <c r="A4" s="1" t="s">
        <v>54</v>
      </c>
      <c r="B4" s="4" t="s">
        <v>29</v>
      </c>
      <c r="C4" s="4" t="s">
        <v>178</v>
      </c>
      <c r="D4" s="4" t="s">
        <v>178</v>
      </c>
      <c r="E4" s="4" t="s">
        <v>178</v>
      </c>
      <c r="F4" s="26" t="s">
        <v>181</v>
      </c>
      <c r="G4" s="27">
        <v>2.0250902E7</v>
      </c>
    </row>
    <row r="5" ht="16.5" customHeight="1">
      <c r="A5" s="1" t="s">
        <v>69</v>
      </c>
      <c r="B5" s="4" t="s">
        <v>29</v>
      </c>
      <c r="C5" s="4" t="s">
        <v>178</v>
      </c>
      <c r="D5" s="4" t="s">
        <v>178</v>
      </c>
      <c r="E5" s="4" t="s">
        <v>178</v>
      </c>
      <c r="F5" s="26" t="s">
        <v>182</v>
      </c>
      <c r="G5" s="27">
        <v>2.0250908E7</v>
      </c>
    </row>
    <row r="6" ht="16.5" customHeight="1">
      <c r="A6" s="1" t="s">
        <v>78</v>
      </c>
      <c r="B6" s="4" t="s">
        <v>29</v>
      </c>
      <c r="C6" s="4" t="s">
        <v>178</v>
      </c>
      <c r="D6" s="4" t="s">
        <v>178</v>
      </c>
      <c r="E6" s="4" t="s">
        <v>178</v>
      </c>
      <c r="F6" s="5" t="s">
        <v>183</v>
      </c>
      <c r="G6" s="25">
        <v>2.0250907E7</v>
      </c>
    </row>
    <row r="7" ht="16.5" customHeight="1">
      <c r="A7" s="1" t="s">
        <v>85</v>
      </c>
      <c r="B7" s="4" t="s">
        <v>29</v>
      </c>
      <c r="C7" s="4" t="s">
        <v>178</v>
      </c>
      <c r="D7" s="4" t="s">
        <v>178</v>
      </c>
      <c r="E7" s="4" t="s">
        <v>178</v>
      </c>
      <c r="F7" s="28" t="s">
        <v>184</v>
      </c>
      <c r="G7" s="29">
        <v>2.0251117E7</v>
      </c>
    </row>
    <row r="8" ht="16.5" customHeight="1">
      <c r="A8" s="1" t="s">
        <v>90</v>
      </c>
      <c r="B8" s="4" t="s">
        <v>29</v>
      </c>
      <c r="C8" s="4" t="s">
        <v>178</v>
      </c>
      <c r="D8" s="4" t="s">
        <v>178</v>
      </c>
      <c r="E8" s="4" t="s">
        <v>178</v>
      </c>
      <c r="F8" s="28" t="s">
        <v>185</v>
      </c>
      <c r="G8" s="29">
        <v>2.0250908E7</v>
      </c>
    </row>
    <row r="9" ht="16.5" customHeight="1">
      <c r="A9" s="1" t="s">
        <v>100</v>
      </c>
      <c r="B9" s="4" t="s">
        <v>29</v>
      </c>
      <c r="C9" s="4" t="s">
        <v>178</v>
      </c>
      <c r="D9" s="4" t="s">
        <v>178</v>
      </c>
      <c r="E9" s="4" t="s">
        <v>178</v>
      </c>
      <c r="F9" s="5" t="s">
        <v>186</v>
      </c>
      <c r="G9" s="25">
        <v>2.0250818E7</v>
      </c>
    </row>
    <row r="10" ht="16.5" customHeight="1">
      <c r="A10" s="1" t="s">
        <v>104</v>
      </c>
      <c r="B10" s="4" t="s">
        <v>29</v>
      </c>
      <c r="C10" s="4" t="s">
        <v>178</v>
      </c>
      <c r="D10" s="4" t="s">
        <v>178</v>
      </c>
      <c r="E10" s="4" t="s">
        <v>178</v>
      </c>
      <c r="F10" s="28" t="s">
        <v>187</v>
      </c>
      <c r="G10" s="27">
        <v>2.0250908E7</v>
      </c>
    </row>
    <row r="11" ht="16.5" customHeight="1">
      <c r="A11" s="1" t="s">
        <v>114</v>
      </c>
      <c r="B11" s="4" t="s">
        <v>29</v>
      </c>
      <c r="C11" s="4" t="s">
        <v>178</v>
      </c>
      <c r="D11" s="4" t="s">
        <v>178</v>
      </c>
      <c r="E11" s="4" t="s">
        <v>178</v>
      </c>
      <c r="F11" s="28" t="s">
        <v>188</v>
      </c>
      <c r="G11" s="27">
        <v>2.0250908E7</v>
      </c>
    </row>
    <row r="12" ht="16.5" customHeight="1">
      <c r="A12" s="1" t="s">
        <v>189</v>
      </c>
      <c r="B12" s="4" t="s">
        <v>29</v>
      </c>
      <c r="C12" s="4" t="s">
        <v>178</v>
      </c>
      <c r="D12" s="4" t="s">
        <v>178</v>
      </c>
      <c r="E12" s="4" t="s">
        <v>178</v>
      </c>
      <c r="F12" s="5" t="s">
        <v>190</v>
      </c>
      <c r="G12" s="25">
        <v>2.0250606E7</v>
      </c>
    </row>
    <row r="13" ht="16.5" customHeight="1">
      <c r="A13" s="1" t="s">
        <v>134</v>
      </c>
      <c r="B13" s="4" t="s">
        <v>29</v>
      </c>
      <c r="C13" s="4" t="s">
        <v>178</v>
      </c>
      <c r="D13" s="4" t="s">
        <v>178</v>
      </c>
      <c r="E13" s="4" t="s">
        <v>178</v>
      </c>
      <c r="F13" s="5" t="s">
        <v>191</v>
      </c>
      <c r="G13" s="25">
        <v>2.0250901E7</v>
      </c>
    </row>
    <row r="14" ht="16.5" customHeight="1">
      <c r="A14" s="1" t="s">
        <v>144</v>
      </c>
      <c r="B14" s="4" t="s">
        <v>29</v>
      </c>
      <c r="C14" s="4" t="s">
        <v>178</v>
      </c>
      <c r="D14" s="4" t="s">
        <v>178</v>
      </c>
      <c r="E14" s="4" t="s">
        <v>178</v>
      </c>
      <c r="F14" s="30" t="s">
        <v>192</v>
      </c>
      <c r="G14" s="25">
        <v>2.0250907E7</v>
      </c>
    </row>
    <row r="15" ht="16.5" customHeight="1">
      <c r="A15" s="1" t="s">
        <v>151</v>
      </c>
      <c r="B15" s="4" t="s">
        <v>29</v>
      </c>
      <c r="C15" s="4" t="s">
        <v>178</v>
      </c>
      <c r="D15" s="4" t="s">
        <v>178</v>
      </c>
      <c r="E15" s="4" t="s">
        <v>178</v>
      </c>
      <c r="F15" s="31" t="s">
        <v>193</v>
      </c>
      <c r="G15" s="27">
        <v>2.0250908E7</v>
      </c>
    </row>
    <row r="16" ht="16.5" customHeight="1">
      <c r="A16" s="19" t="s">
        <v>158</v>
      </c>
      <c r="B16" s="4" t="s">
        <v>29</v>
      </c>
      <c r="C16" s="4" t="s">
        <v>178</v>
      </c>
      <c r="D16" s="4" t="s">
        <v>178</v>
      </c>
      <c r="E16" s="4" t="s">
        <v>178</v>
      </c>
      <c r="F16" s="32" t="s">
        <v>194</v>
      </c>
      <c r="G16" s="27">
        <v>2.0250907E7</v>
      </c>
    </row>
    <row r="17" ht="16.5" customHeight="1">
      <c r="A17" s="1" t="s">
        <v>27</v>
      </c>
      <c r="B17" s="4" t="s">
        <v>195</v>
      </c>
      <c r="C17" s="4" t="s">
        <v>178</v>
      </c>
      <c r="D17" s="4" t="s">
        <v>178</v>
      </c>
      <c r="E17" s="4" t="s">
        <v>178</v>
      </c>
      <c r="F17" s="4" t="s">
        <v>179</v>
      </c>
      <c r="G17" s="25">
        <v>2.0250922E7</v>
      </c>
    </row>
    <row r="18" ht="16.5" customHeight="1">
      <c r="A18" s="1" t="s">
        <v>44</v>
      </c>
      <c r="B18" s="4" t="s">
        <v>195</v>
      </c>
      <c r="C18" s="4" t="s">
        <v>178</v>
      </c>
      <c r="D18" s="4" t="s">
        <v>178</v>
      </c>
      <c r="E18" s="4" t="s">
        <v>178</v>
      </c>
      <c r="F18" s="4" t="s">
        <v>180</v>
      </c>
      <c r="G18" s="25">
        <v>2.0250922E7</v>
      </c>
    </row>
    <row r="19" ht="16.5" customHeight="1">
      <c r="A19" s="1" t="s">
        <v>54</v>
      </c>
      <c r="B19" s="4" t="s">
        <v>195</v>
      </c>
      <c r="C19" s="4" t="s">
        <v>178</v>
      </c>
      <c r="D19" s="4" t="s">
        <v>178</v>
      </c>
      <c r="E19" s="4" t="s">
        <v>178</v>
      </c>
      <c r="F19" s="31" t="s">
        <v>196</v>
      </c>
      <c r="G19" s="27">
        <v>2.0250922E7</v>
      </c>
    </row>
    <row r="20" ht="16.5" customHeight="1">
      <c r="A20" s="1" t="s">
        <v>69</v>
      </c>
      <c r="B20" s="4" t="s">
        <v>195</v>
      </c>
      <c r="C20" s="4" t="s">
        <v>178</v>
      </c>
      <c r="D20" s="4" t="s">
        <v>178</v>
      </c>
      <c r="E20" s="4" t="s">
        <v>178</v>
      </c>
      <c r="F20" s="31" t="s">
        <v>197</v>
      </c>
      <c r="G20" s="27">
        <v>2.0250922E7</v>
      </c>
    </row>
    <row r="21" ht="16.5" customHeight="1">
      <c r="A21" s="1" t="s">
        <v>78</v>
      </c>
      <c r="B21" s="4" t="s">
        <v>195</v>
      </c>
      <c r="C21" s="4" t="s">
        <v>178</v>
      </c>
      <c r="D21" s="4" t="s">
        <v>178</v>
      </c>
      <c r="E21" s="4" t="s">
        <v>178</v>
      </c>
      <c r="F21" s="4" t="s">
        <v>183</v>
      </c>
      <c r="G21" s="25">
        <v>2.0250922E7</v>
      </c>
    </row>
    <row r="22" ht="16.5" customHeight="1">
      <c r="A22" s="1" t="s">
        <v>85</v>
      </c>
      <c r="B22" s="4" t="s">
        <v>198</v>
      </c>
      <c r="C22" s="4" t="s">
        <v>199</v>
      </c>
      <c r="D22" s="4" t="s">
        <v>199</v>
      </c>
      <c r="E22" s="4" t="s">
        <v>199</v>
      </c>
      <c r="F22" s="28" t="s">
        <v>200</v>
      </c>
      <c r="G22" s="29">
        <v>2.0251117E7</v>
      </c>
    </row>
    <row r="23" ht="16.5" customHeight="1">
      <c r="A23" s="1" t="s">
        <v>90</v>
      </c>
      <c r="B23" s="4" t="s">
        <v>198</v>
      </c>
      <c r="C23" s="4" t="s">
        <v>199</v>
      </c>
      <c r="D23" s="4" t="s">
        <v>199</v>
      </c>
      <c r="E23" s="4" t="s">
        <v>199</v>
      </c>
      <c r="F23" s="32" t="s">
        <v>185</v>
      </c>
      <c r="G23" s="29">
        <v>2.0250922E7</v>
      </c>
    </row>
    <row r="24" ht="16.5" customHeight="1">
      <c r="A24" s="1" t="s">
        <v>100</v>
      </c>
      <c r="B24" s="4" t="s">
        <v>195</v>
      </c>
      <c r="C24" s="4" t="s">
        <v>178</v>
      </c>
      <c r="D24" s="4" t="s">
        <v>178</v>
      </c>
      <c r="E24" s="4" t="s">
        <v>178</v>
      </c>
      <c r="F24" s="4" t="s">
        <v>186</v>
      </c>
      <c r="G24" s="25">
        <v>2.0250922E7</v>
      </c>
    </row>
    <row r="25" ht="16.5" customHeight="1">
      <c r="A25" s="1" t="s">
        <v>104</v>
      </c>
      <c r="B25" s="4" t="s">
        <v>195</v>
      </c>
      <c r="C25" s="4" t="s">
        <v>178</v>
      </c>
      <c r="D25" s="4" t="s">
        <v>178</v>
      </c>
      <c r="E25" s="4" t="s">
        <v>178</v>
      </c>
      <c r="F25" s="32" t="s">
        <v>201</v>
      </c>
      <c r="G25" s="27">
        <v>2.0250922E7</v>
      </c>
    </row>
    <row r="26" ht="16.5" customHeight="1">
      <c r="A26" s="1" t="s">
        <v>114</v>
      </c>
      <c r="B26" s="4" t="s">
        <v>195</v>
      </c>
      <c r="C26" s="4" t="s">
        <v>178</v>
      </c>
      <c r="D26" s="4" t="s">
        <v>178</v>
      </c>
      <c r="E26" s="4" t="s">
        <v>178</v>
      </c>
      <c r="F26" s="32" t="s">
        <v>202</v>
      </c>
      <c r="G26" s="27">
        <v>2.0250922E7</v>
      </c>
    </row>
    <row r="27" ht="16.5" customHeight="1">
      <c r="A27" s="1" t="s">
        <v>189</v>
      </c>
      <c r="B27" s="4" t="s">
        <v>195</v>
      </c>
      <c r="C27" s="4" t="s">
        <v>178</v>
      </c>
      <c r="D27" s="4" t="s">
        <v>178</v>
      </c>
      <c r="E27" s="4" t="s">
        <v>178</v>
      </c>
      <c r="F27" s="4" t="s">
        <v>190</v>
      </c>
      <c r="G27" s="25">
        <v>2.0250922E7</v>
      </c>
    </row>
    <row r="28" ht="16.5" customHeight="1">
      <c r="A28" s="1" t="s">
        <v>134</v>
      </c>
      <c r="B28" s="4" t="s">
        <v>195</v>
      </c>
      <c r="C28" s="4" t="s">
        <v>178</v>
      </c>
      <c r="D28" s="4" t="s">
        <v>178</v>
      </c>
      <c r="E28" s="4" t="s">
        <v>178</v>
      </c>
      <c r="F28" s="4" t="s">
        <v>191</v>
      </c>
      <c r="G28" s="25">
        <v>2.0250922E7</v>
      </c>
    </row>
    <row r="29" ht="16.5" customHeight="1">
      <c r="A29" s="1" t="s">
        <v>144</v>
      </c>
      <c r="B29" s="4" t="s">
        <v>195</v>
      </c>
      <c r="C29" s="4" t="s">
        <v>178</v>
      </c>
      <c r="D29" s="4" t="s">
        <v>178</v>
      </c>
      <c r="E29" s="4" t="s">
        <v>178</v>
      </c>
      <c r="F29" s="4" t="s">
        <v>192</v>
      </c>
      <c r="G29" s="25">
        <v>2.0250922E7</v>
      </c>
    </row>
    <row r="30" ht="16.5" customHeight="1">
      <c r="A30" s="1" t="s">
        <v>151</v>
      </c>
      <c r="B30" s="4" t="s">
        <v>195</v>
      </c>
      <c r="C30" s="4" t="s">
        <v>178</v>
      </c>
      <c r="D30" s="4" t="s">
        <v>178</v>
      </c>
      <c r="E30" s="4" t="s">
        <v>178</v>
      </c>
      <c r="F30" s="31" t="s">
        <v>203</v>
      </c>
      <c r="G30" s="27">
        <v>2.0250922E7</v>
      </c>
    </row>
    <row r="31" ht="16.5" customHeight="1">
      <c r="A31" s="19" t="s">
        <v>158</v>
      </c>
      <c r="B31" s="4" t="s">
        <v>198</v>
      </c>
      <c r="C31" s="4" t="s">
        <v>199</v>
      </c>
      <c r="D31" s="4" t="s">
        <v>199</v>
      </c>
      <c r="E31" s="4" t="s">
        <v>199</v>
      </c>
      <c r="F31" s="32" t="s">
        <v>204</v>
      </c>
      <c r="G31" s="27">
        <v>2.0250922E7</v>
      </c>
    </row>
    <row r="32" ht="16.5" customHeight="1">
      <c r="A32" s="33" t="s">
        <v>85</v>
      </c>
      <c r="B32" s="4" t="s">
        <v>91</v>
      </c>
      <c r="C32" s="4" t="s">
        <v>178</v>
      </c>
      <c r="D32" s="4" t="s">
        <v>178</v>
      </c>
      <c r="E32" s="4" t="s">
        <v>178</v>
      </c>
      <c r="F32" s="28" t="s">
        <v>205</v>
      </c>
      <c r="G32" s="29">
        <v>2.0251117E7</v>
      </c>
      <c r="H32" s="4" t="s">
        <v>206</v>
      </c>
      <c r="I32" s="4" t="s">
        <v>207</v>
      </c>
    </row>
    <row r="33" ht="16.5" customHeight="1">
      <c r="A33" s="33" t="s">
        <v>90</v>
      </c>
      <c r="B33" s="4" t="s">
        <v>91</v>
      </c>
      <c r="C33" s="4" t="s">
        <v>178</v>
      </c>
      <c r="D33" s="4" t="s">
        <v>178</v>
      </c>
      <c r="E33" s="4" t="s">
        <v>178</v>
      </c>
      <c r="F33" s="32" t="s">
        <v>208</v>
      </c>
      <c r="G33" s="29">
        <v>2.0251104E7</v>
      </c>
      <c r="H33" s="4" t="s">
        <v>209</v>
      </c>
      <c r="I33" s="4" t="s">
        <v>207</v>
      </c>
    </row>
    <row r="34" ht="16.5" customHeight="1">
      <c r="A34" s="34" t="s">
        <v>104</v>
      </c>
      <c r="B34" s="4" t="s">
        <v>91</v>
      </c>
      <c r="C34" s="4" t="s">
        <v>178</v>
      </c>
      <c r="D34" s="4" t="s">
        <v>178</v>
      </c>
      <c r="E34" s="4" t="s">
        <v>178</v>
      </c>
      <c r="F34" s="32" t="s">
        <v>210</v>
      </c>
      <c r="G34" s="27">
        <v>2.0251104E7</v>
      </c>
      <c r="H34" s="4" t="s">
        <v>211</v>
      </c>
      <c r="I34" s="4" t="s">
        <v>207</v>
      </c>
    </row>
    <row r="35" ht="16.5" customHeight="1">
      <c r="A35" s="34" t="s">
        <v>114</v>
      </c>
      <c r="B35" s="4" t="s">
        <v>91</v>
      </c>
      <c r="C35" s="4" t="s">
        <v>178</v>
      </c>
      <c r="D35" s="4" t="s">
        <v>178</v>
      </c>
      <c r="E35" s="4" t="s">
        <v>178</v>
      </c>
      <c r="F35" s="32" t="s">
        <v>212</v>
      </c>
      <c r="G35" s="27">
        <v>2.0251104E7</v>
      </c>
      <c r="H35" s="4" t="s">
        <v>213</v>
      </c>
      <c r="I35" s="4" t="s">
        <v>207</v>
      </c>
    </row>
    <row r="36" ht="16.5" customHeight="1">
      <c r="A36" s="19" t="s">
        <v>214</v>
      </c>
      <c r="B36" s="4" t="s">
        <v>215</v>
      </c>
      <c r="C36" s="4" t="s">
        <v>216</v>
      </c>
      <c r="D36" s="4" t="s">
        <v>216</v>
      </c>
      <c r="E36" s="4" t="s">
        <v>216</v>
      </c>
      <c r="F36" s="4" t="s">
        <v>217</v>
      </c>
      <c r="G36" s="25">
        <v>2.0251125E7</v>
      </c>
      <c r="H36" s="4" t="s">
        <v>213</v>
      </c>
    </row>
    <row r="37" ht="16.5" customHeight="1">
      <c r="A37" s="19" t="s">
        <v>218</v>
      </c>
      <c r="B37" s="4" t="s">
        <v>91</v>
      </c>
      <c r="C37" s="4" t="s">
        <v>178</v>
      </c>
      <c r="D37" s="4" t="s">
        <v>178</v>
      </c>
      <c r="E37" s="4" t="s">
        <v>178</v>
      </c>
      <c r="F37" s="4" t="s">
        <v>219</v>
      </c>
      <c r="G37" s="25">
        <v>2.0251125E7</v>
      </c>
      <c r="H37" s="4" t="s">
        <v>220</v>
      </c>
    </row>
    <row r="38" ht="16.5" customHeight="1">
      <c r="A38" s="19" t="s">
        <v>158</v>
      </c>
      <c r="B38" s="4" t="s">
        <v>91</v>
      </c>
      <c r="C38" s="4" t="s">
        <v>178</v>
      </c>
      <c r="D38" s="4" t="s">
        <v>178</v>
      </c>
      <c r="E38" s="4" t="s">
        <v>178</v>
      </c>
      <c r="F38" s="32" t="s">
        <v>221</v>
      </c>
      <c r="G38" s="27">
        <v>2.0251104E7</v>
      </c>
      <c r="H38" s="4" t="s">
        <v>222</v>
      </c>
      <c r="I38" s="4" t="s">
        <v>223</v>
      </c>
    </row>
    <row r="39" ht="16.5" customHeight="1">
      <c r="A39" s="1" t="s">
        <v>224</v>
      </c>
      <c r="B39" s="4" t="s">
        <v>225</v>
      </c>
      <c r="F39" s="20"/>
      <c r="G39" s="35"/>
    </row>
    <row r="40" ht="16.5" customHeight="1">
      <c r="F40" s="20"/>
      <c r="G40" s="35"/>
    </row>
    <row r="41" ht="16.5" customHeight="1">
      <c r="F41" s="20"/>
      <c r="G41" s="35"/>
    </row>
    <row r="42" ht="16.5" customHeight="1">
      <c r="F42" s="20"/>
      <c r="G42" s="35"/>
    </row>
    <row r="43" ht="16.5" customHeight="1">
      <c r="F43" s="20"/>
      <c r="G43" s="35"/>
    </row>
    <row r="44" ht="16.5" customHeight="1">
      <c r="F44" s="20"/>
      <c r="G44" s="35"/>
    </row>
    <row r="45" ht="16.5" customHeight="1">
      <c r="F45" s="20"/>
      <c r="G45" s="35"/>
    </row>
    <row r="46" ht="16.5" customHeight="1">
      <c r="F46" s="20"/>
      <c r="G46" s="35"/>
    </row>
    <row r="47" ht="16.5" customHeight="1">
      <c r="F47" s="20"/>
      <c r="G47" s="35"/>
    </row>
    <row r="48" ht="16.5" customHeight="1">
      <c r="F48" s="20"/>
      <c r="G48" s="35"/>
    </row>
    <row r="49" ht="16.5" customHeight="1">
      <c r="F49" s="20"/>
      <c r="G49" s="35"/>
    </row>
    <row r="50" ht="16.5" customHeight="1">
      <c r="F50" s="20"/>
      <c r="G50" s="35"/>
    </row>
    <row r="51" ht="16.5" customHeight="1">
      <c r="F51" s="20"/>
      <c r="G51" s="35"/>
    </row>
    <row r="52" ht="16.5" customHeight="1">
      <c r="F52" s="20"/>
      <c r="G52" s="35"/>
    </row>
    <row r="53" ht="16.5" customHeight="1">
      <c r="F53" s="20"/>
      <c r="G53" s="35"/>
    </row>
    <row r="54" ht="16.5" customHeight="1">
      <c r="F54" s="20"/>
      <c r="G54" s="35"/>
    </row>
    <row r="55" ht="16.5" customHeight="1">
      <c r="F55" s="20"/>
      <c r="G55" s="35"/>
    </row>
    <row r="56" ht="16.5" customHeight="1">
      <c r="F56" s="20"/>
      <c r="G56" s="35"/>
    </row>
    <row r="57" ht="16.5" customHeight="1">
      <c r="F57" s="20"/>
      <c r="G57" s="35"/>
    </row>
    <row r="58" ht="16.5" customHeight="1">
      <c r="F58" s="20"/>
      <c r="G58" s="35"/>
    </row>
    <row r="59" ht="16.5" customHeight="1">
      <c r="F59" s="20"/>
      <c r="G59" s="35"/>
    </row>
    <row r="60" ht="16.5" customHeight="1">
      <c r="F60" s="20"/>
      <c r="G60" s="35"/>
    </row>
    <row r="61" ht="16.5" customHeight="1">
      <c r="F61" s="20"/>
      <c r="G61" s="35"/>
    </row>
    <row r="62" ht="16.5" customHeight="1">
      <c r="F62" s="20"/>
      <c r="G62" s="35"/>
    </row>
    <row r="63" ht="16.5" customHeight="1">
      <c r="F63" s="20"/>
      <c r="G63" s="35"/>
    </row>
    <row r="64" ht="16.5" customHeight="1">
      <c r="F64" s="20"/>
      <c r="G64" s="35"/>
    </row>
    <row r="65" ht="16.5" customHeight="1">
      <c r="F65" s="20"/>
      <c r="G65" s="35"/>
    </row>
    <row r="66" ht="16.5" customHeight="1">
      <c r="F66" s="20"/>
      <c r="G66" s="35"/>
    </row>
    <row r="67" ht="16.5" customHeight="1">
      <c r="F67" s="20"/>
      <c r="G67" s="35"/>
    </row>
    <row r="68" ht="16.5" customHeight="1">
      <c r="F68" s="20"/>
      <c r="G68" s="35"/>
    </row>
    <row r="69" ht="16.5" customHeight="1">
      <c r="F69" s="20"/>
      <c r="G69" s="35"/>
    </row>
    <row r="70" ht="16.5" customHeight="1">
      <c r="F70" s="20"/>
      <c r="G70" s="35"/>
    </row>
    <row r="71" ht="16.5" customHeight="1">
      <c r="F71" s="20"/>
      <c r="G71" s="35"/>
    </row>
    <row r="72" ht="16.5" customHeight="1">
      <c r="F72" s="20"/>
      <c r="G72" s="35"/>
    </row>
    <row r="73" ht="16.5" customHeight="1">
      <c r="F73" s="20"/>
      <c r="G73" s="35"/>
    </row>
    <row r="74" ht="16.5" customHeight="1">
      <c r="F74" s="20"/>
      <c r="G74" s="35"/>
    </row>
    <row r="75" ht="16.5" customHeight="1">
      <c r="F75" s="20"/>
      <c r="G75" s="35"/>
    </row>
    <row r="76" ht="16.5" customHeight="1">
      <c r="F76" s="20"/>
      <c r="G76" s="35"/>
    </row>
    <row r="77" ht="16.5" customHeight="1">
      <c r="F77" s="20"/>
      <c r="G77" s="35"/>
    </row>
    <row r="78" ht="16.5" customHeight="1">
      <c r="F78" s="20"/>
      <c r="G78" s="35"/>
    </row>
    <row r="79" ht="16.5" customHeight="1">
      <c r="F79" s="20"/>
      <c r="G79" s="35"/>
    </row>
    <row r="80" ht="16.5" customHeight="1">
      <c r="F80" s="20"/>
      <c r="G80" s="35"/>
    </row>
    <row r="81" ht="16.5" customHeight="1">
      <c r="F81" s="20"/>
      <c r="G81" s="35"/>
    </row>
    <row r="82" ht="16.5" customHeight="1">
      <c r="F82" s="20"/>
      <c r="G82" s="35"/>
    </row>
    <row r="83" ht="16.5" customHeight="1">
      <c r="F83" s="20"/>
      <c r="G83" s="35"/>
    </row>
    <row r="84" ht="16.5" customHeight="1">
      <c r="F84" s="20"/>
      <c r="G84" s="35"/>
    </row>
    <row r="85" ht="16.5" customHeight="1">
      <c r="F85" s="20"/>
      <c r="G85" s="35"/>
    </row>
    <row r="86" ht="16.5" customHeight="1">
      <c r="F86" s="20"/>
      <c r="G86" s="35"/>
    </row>
    <row r="87" ht="16.5" customHeight="1">
      <c r="F87" s="20"/>
      <c r="G87" s="35"/>
    </row>
    <row r="88" ht="16.5" customHeight="1">
      <c r="F88" s="20"/>
      <c r="G88" s="35"/>
    </row>
    <row r="89" ht="16.5" customHeight="1">
      <c r="F89" s="20"/>
      <c r="G89" s="35"/>
    </row>
    <row r="90" ht="16.5" customHeight="1">
      <c r="F90" s="20"/>
      <c r="G90" s="35"/>
    </row>
    <row r="91" ht="16.5" customHeight="1">
      <c r="F91" s="20"/>
      <c r="G91" s="35"/>
    </row>
    <row r="92" ht="16.5" customHeight="1">
      <c r="F92" s="20"/>
      <c r="G92" s="35"/>
    </row>
    <row r="93" ht="16.5" customHeight="1">
      <c r="F93" s="20"/>
      <c r="G93" s="35"/>
    </row>
    <row r="94" ht="16.5" customHeight="1">
      <c r="F94" s="20"/>
      <c r="G94" s="35"/>
    </row>
    <row r="95" ht="16.5" customHeight="1">
      <c r="F95" s="20"/>
      <c r="G95" s="35"/>
    </row>
    <row r="96" ht="16.5" customHeight="1">
      <c r="F96" s="20"/>
      <c r="G96" s="35"/>
    </row>
    <row r="97" ht="16.5" customHeight="1">
      <c r="F97" s="20"/>
      <c r="G97" s="35"/>
    </row>
    <row r="98" ht="16.5" customHeight="1">
      <c r="F98" s="20"/>
      <c r="G98" s="35"/>
    </row>
    <row r="99" ht="16.5" customHeight="1">
      <c r="F99" s="20"/>
      <c r="G99" s="35"/>
    </row>
    <row r="100" ht="16.5" customHeight="1">
      <c r="F100" s="20"/>
      <c r="G100" s="35"/>
    </row>
    <row r="101" ht="16.5" customHeight="1">
      <c r="F101" s="20"/>
      <c r="G101" s="35"/>
    </row>
    <row r="102" ht="16.5" customHeight="1">
      <c r="F102" s="20"/>
      <c r="G102" s="35"/>
    </row>
    <row r="103" ht="16.5" customHeight="1">
      <c r="F103" s="20"/>
      <c r="G103" s="35"/>
    </row>
    <row r="104" ht="16.5" customHeight="1">
      <c r="F104" s="20"/>
      <c r="G104" s="35"/>
    </row>
    <row r="105" ht="16.5" customHeight="1">
      <c r="F105" s="20"/>
      <c r="G105" s="35"/>
    </row>
    <row r="106" ht="16.5" customHeight="1">
      <c r="F106" s="20"/>
      <c r="G106" s="35"/>
    </row>
    <row r="107" ht="16.5" customHeight="1">
      <c r="F107" s="20"/>
      <c r="G107" s="35"/>
    </row>
    <row r="108" ht="16.5" customHeight="1">
      <c r="F108" s="20"/>
      <c r="G108" s="35"/>
    </row>
    <row r="109" ht="16.5" customHeight="1">
      <c r="F109" s="20"/>
      <c r="G109" s="35"/>
    </row>
    <row r="110" ht="16.5" customHeight="1">
      <c r="F110" s="20"/>
      <c r="G110" s="35"/>
    </row>
    <row r="111" ht="16.5" customHeight="1">
      <c r="F111" s="20"/>
      <c r="G111" s="35"/>
    </row>
    <row r="112" ht="16.5" customHeight="1">
      <c r="F112" s="20"/>
      <c r="G112" s="35"/>
    </row>
    <row r="113" ht="16.5" customHeight="1">
      <c r="F113" s="20"/>
      <c r="G113" s="35"/>
    </row>
    <row r="114" ht="16.5" customHeight="1">
      <c r="F114" s="20"/>
      <c r="G114" s="35"/>
    </row>
    <row r="115" ht="16.5" customHeight="1">
      <c r="F115" s="20"/>
      <c r="G115" s="35"/>
    </row>
    <row r="116" ht="16.5" customHeight="1">
      <c r="F116" s="20"/>
      <c r="G116" s="35"/>
    </row>
    <row r="117" ht="16.5" customHeight="1">
      <c r="F117" s="20"/>
      <c r="G117" s="35"/>
    </row>
    <row r="118" ht="16.5" customHeight="1">
      <c r="F118" s="20"/>
      <c r="G118" s="35"/>
    </row>
    <row r="119" ht="16.5" customHeight="1">
      <c r="F119" s="20"/>
      <c r="G119" s="35"/>
    </row>
    <row r="120" ht="16.5" customHeight="1">
      <c r="F120" s="20"/>
      <c r="G120" s="35"/>
    </row>
    <row r="121" ht="16.5" customHeight="1">
      <c r="F121" s="20"/>
      <c r="G121" s="35"/>
    </row>
    <row r="122" ht="16.5" customHeight="1">
      <c r="F122" s="20"/>
      <c r="G122" s="35"/>
    </row>
    <row r="123" ht="16.5" customHeight="1">
      <c r="F123" s="20"/>
      <c r="G123" s="35"/>
    </row>
    <row r="124" ht="16.5" customHeight="1">
      <c r="F124" s="20"/>
      <c r="G124" s="35"/>
    </row>
    <row r="125" ht="16.5" customHeight="1">
      <c r="F125" s="20"/>
      <c r="G125" s="35"/>
    </row>
    <row r="126" ht="16.5" customHeight="1">
      <c r="F126" s="20"/>
      <c r="G126" s="35"/>
    </row>
    <row r="127" ht="16.5" customHeight="1">
      <c r="F127" s="20"/>
      <c r="G127" s="35"/>
    </row>
    <row r="128" ht="16.5" customHeight="1">
      <c r="F128" s="20"/>
      <c r="G128" s="35"/>
    </row>
    <row r="129" ht="16.5" customHeight="1">
      <c r="F129" s="20"/>
      <c r="G129" s="35"/>
    </row>
    <row r="130" ht="16.5" customHeight="1">
      <c r="F130" s="20"/>
      <c r="G130" s="35"/>
    </row>
    <row r="131" ht="16.5" customHeight="1">
      <c r="F131" s="20"/>
      <c r="G131" s="35"/>
    </row>
    <row r="132" ht="16.5" customHeight="1">
      <c r="F132" s="20"/>
      <c r="G132" s="35"/>
    </row>
    <row r="133" ht="16.5" customHeight="1">
      <c r="F133" s="20"/>
      <c r="G133" s="35"/>
    </row>
    <row r="134" ht="16.5" customHeight="1">
      <c r="F134" s="20"/>
      <c r="G134" s="35"/>
    </row>
    <row r="135" ht="16.5" customHeight="1">
      <c r="F135" s="20"/>
      <c r="G135" s="35"/>
    </row>
    <row r="136" ht="16.5" customHeight="1">
      <c r="F136" s="20"/>
      <c r="G136" s="35"/>
    </row>
    <row r="137" ht="16.5" customHeight="1">
      <c r="F137" s="20"/>
      <c r="G137" s="35"/>
    </row>
    <row r="138" ht="16.5" customHeight="1">
      <c r="F138" s="20"/>
      <c r="G138" s="35"/>
    </row>
    <row r="139" ht="16.5" customHeight="1">
      <c r="F139" s="20"/>
      <c r="G139" s="35"/>
    </row>
    <row r="140" ht="16.5" customHeight="1">
      <c r="F140" s="20"/>
      <c r="G140" s="35"/>
    </row>
    <row r="141" ht="16.5" customHeight="1">
      <c r="F141" s="20"/>
      <c r="G141" s="35"/>
    </row>
    <row r="142" ht="16.5" customHeight="1">
      <c r="F142" s="20"/>
      <c r="G142" s="35"/>
    </row>
    <row r="143" ht="16.5" customHeight="1">
      <c r="F143" s="20"/>
      <c r="G143" s="35"/>
    </row>
    <row r="144" ht="16.5" customHeight="1">
      <c r="F144" s="20"/>
      <c r="G144" s="35"/>
    </row>
    <row r="145" ht="16.5" customHeight="1">
      <c r="F145" s="20"/>
      <c r="G145" s="35"/>
    </row>
    <row r="146" ht="16.5" customHeight="1">
      <c r="F146" s="20"/>
      <c r="G146" s="35"/>
    </row>
    <row r="147" ht="16.5" customHeight="1">
      <c r="F147" s="20"/>
      <c r="G147" s="35"/>
    </row>
    <row r="148" ht="16.5" customHeight="1">
      <c r="F148" s="20"/>
      <c r="G148" s="35"/>
    </row>
    <row r="149" ht="16.5" customHeight="1">
      <c r="F149" s="20"/>
      <c r="G149" s="35"/>
    </row>
    <row r="150" ht="16.5" customHeight="1">
      <c r="F150" s="20"/>
      <c r="G150" s="35"/>
    </row>
    <row r="151" ht="16.5" customHeight="1">
      <c r="F151" s="20"/>
      <c r="G151" s="35"/>
    </row>
    <row r="152" ht="16.5" customHeight="1">
      <c r="F152" s="20"/>
      <c r="G152" s="35"/>
    </row>
    <row r="153" ht="16.5" customHeight="1">
      <c r="F153" s="20"/>
      <c r="G153" s="35"/>
    </row>
    <row r="154" ht="16.5" customHeight="1">
      <c r="F154" s="20"/>
      <c r="G154" s="35"/>
    </row>
    <row r="155" ht="16.5" customHeight="1">
      <c r="F155" s="20"/>
      <c r="G155" s="35"/>
    </row>
    <row r="156" ht="16.5" customHeight="1">
      <c r="F156" s="20"/>
      <c r="G156" s="35"/>
    </row>
    <row r="157" ht="16.5" customHeight="1">
      <c r="F157" s="20"/>
      <c r="G157" s="35"/>
    </row>
    <row r="158" ht="16.5" customHeight="1">
      <c r="F158" s="20"/>
      <c r="G158" s="35"/>
    </row>
    <row r="159" ht="16.5" customHeight="1">
      <c r="F159" s="20"/>
      <c r="G159" s="35"/>
    </row>
    <row r="160" ht="16.5" customHeight="1">
      <c r="F160" s="20"/>
      <c r="G160" s="35"/>
    </row>
    <row r="161" ht="16.5" customHeight="1">
      <c r="F161" s="20"/>
      <c r="G161" s="35"/>
    </row>
    <row r="162" ht="16.5" customHeight="1">
      <c r="F162" s="20"/>
      <c r="G162" s="35"/>
    </row>
    <row r="163" ht="16.5" customHeight="1">
      <c r="F163" s="20"/>
      <c r="G163" s="35"/>
    </row>
    <row r="164" ht="16.5" customHeight="1">
      <c r="F164" s="20"/>
      <c r="G164" s="35"/>
    </row>
    <row r="165" ht="16.5" customHeight="1">
      <c r="F165" s="20"/>
      <c r="G165" s="35"/>
    </row>
    <row r="166" ht="16.5" customHeight="1">
      <c r="F166" s="20"/>
      <c r="G166" s="35"/>
    </row>
    <row r="167" ht="16.5" customHeight="1">
      <c r="F167" s="20"/>
      <c r="G167" s="35"/>
    </row>
    <row r="168" ht="16.5" customHeight="1">
      <c r="F168" s="20"/>
      <c r="G168" s="35"/>
    </row>
    <row r="169" ht="16.5" customHeight="1">
      <c r="F169" s="20"/>
      <c r="G169" s="35"/>
    </row>
    <row r="170" ht="16.5" customHeight="1">
      <c r="F170" s="20"/>
      <c r="G170" s="35"/>
    </row>
    <row r="171" ht="16.5" customHeight="1">
      <c r="F171" s="20"/>
      <c r="G171" s="35"/>
    </row>
    <row r="172" ht="16.5" customHeight="1">
      <c r="F172" s="20"/>
      <c r="G172" s="35"/>
    </row>
    <row r="173" ht="16.5" customHeight="1">
      <c r="F173" s="20"/>
      <c r="G173" s="35"/>
    </row>
    <row r="174" ht="16.5" customHeight="1">
      <c r="F174" s="20"/>
      <c r="G174" s="35"/>
    </row>
    <row r="175" ht="16.5" customHeight="1">
      <c r="F175" s="20"/>
      <c r="G175" s="35"/>
    </row>
    <row r="176" ht="16.5" customHeight="1">
      <c r="F176" s="20"/>
      <c r="G176" s="35"/>
    </row>
    <row r="177" ht="16.5" customHeight="1">
      <c r="F177" s="20"/>
      <c r="G177" s="35"/>
    </row>
    <row r="178" ht="16.5" customHeight="1">
      <c r="F178" s="20"/>
      <c r="G178" s="35"/>
    </row>
    <row r="179" ht="16.5" customHeight="1">
      <c r="F179" s="20"/>
      <c r="G179" s="35"/>
    </row>
    <row r="180" ht="16.5" customHeight="1">
      <c r="F180" s="20"/>
      <c r="G180" s="35"/>
    </row>
    <row r="181" ht="16.5" customHeight="1">
      <c r="F181" s="20"/>
      <c r="G181" s="35"/>
    </row>
    <row r="182" ht="16.5" customHeight="1">
      <c r="F182" s="20"/>
      <c r="G182" s="35"/>
    </row>
    <row r="183" ht="16.5" customHeight="1">
      <c r="F183" s="20"/>
      <c r="G183" s="35"/>
    </row>
    <row r="184" ht="16.5" customHeight="1">
      <c r="F184" s="20"/>
      <c r="G184" s="35"/>
    </row>
    <row r="185" ht="16.5" customHeight="1">
      <c r="F185" s="20"/>
      <c r="G185" s="35"/>
    </row>
    <row r="186" ht="16.5" customHeight="1">
      <c r="F186" s="20"/>
      <c r="G186" s="35"/>
    </row>
    <row r="187" ht="16.5" customHeight="1">
      <c r="F187" s="20"/>
      <c r="G187" s="35"/>
    </row>
    <row r="188" ht="16.5" customHeight="1">
      <c r="F188" s="20"/>
      <c r="G188" s="35"/>
    </row>
    <row r="189" ht="16.5" customHeight="1">
      <c r="F189" s="20"/>
      <c r="G189" s="35"/>
    </row>
    <row r="190" ht="16.5" customHeight="1">
      <c r="F190" s="20"/>
      <c r="G190" s="35"/>
    </row>
    <row r="191" ht="16.5" customHeight="1">
      <c r="F191" s="20"/>
      <c r="G191" s="35"/>
    </row>
    <row r="192" ht="16.5" customHeight="1">
      <c r="F192" s="20"/>
      <c r="G192" s="35"/>
    </row>
    <row r="193" ht="16.5" customHeight="1">
      <c r="F193" s="20"/>
      <c r="G193" s="35"/>
    </row>
    <row r="194" ht="16.5" customHeight="1">
      <c r="F194" s="20"/>
      <c r="G194" s="35"/>
    </row>
    <row r="195" ht="16.5" customHeight="1">
      <c r="F195" s="20"/>
      <c r="G195" s="35"/>
    </row>
    <row r="196" ht="16.5" customHeight="1">
      <c r="F196" s="20"/>
      <c r="G196" s="35"/>
    </row>
    <row r="197" ht="16.5" customHeight="1">
      <c r="F197" s="20"/>
      <c r="G197" s="35"/>
    </row>
    <row r="198" ht="16.5" customHeight="1">
      <c r="F198" s="20"/>
      <c r="G198" s="35"/>
    </row>
    <row r="199" ht="16.5" customHeight="1">
      <c r="F199" s="20"/>
      <c r="G199" s="35"/>
    </row>
    <row r="200" ht="16.5" customHeight="1">
      <c r="F200" s="20"/>
      <c r="G200" s="35"/>
    </row>
    <row r="201" ht="16.5" customHeight="1">
      <c r="F201" s="20"/>
      <c r="G201" s="35"/>
    </row>
    <row r="202" ht="16.5" customHeight="1">
      <c r="F202" s="20"/>
      <c r="G202" s="35"/>
    </row>
    <row r="203" ht="16.5" customHeight="1">
      <c r="F203" s="20"/>
      <c r="G203" s="35"/>
    </row>
    <row r="204" ht="16.5" customHeight="1">
      <c r="F204" s="20"/>
      <c r="G204" s="35"/>
    </row>
    <row r="205" ht="16.5" customHeight="1">
      <c r="F205" s="20"/>
      <c r="G205" s="35"/>
    </row>
    <row r="206" ht="16.5" customHeight="1">
      <c r="F206" s="20"/>
      <c r="G206" s="35"/>
    </row>
    <row r="207" ht="16.5" customHeight="1">
      <c r="F207" s="20"/>
      <c r="G207" s="35"/>
    </row>
    <row r="208" ht="16.5" customHeight="1">
      <c r="F208" s="20"/>
      <c r="G208" s="35"/>
    </row>
    <row r="209" ht="16.5" customHeight="1">
      <c r="F209" s="20"/>
      <c r="G209" s="35"/>
    </row>
    <row r="210" ht="16.5" customHeight="1">
      <c r="F210" s="20"/>
      <c r="G210" s="35"/>
    </row>
    <row r="211" ht="16.5" customHeight="1">
      <c r="F211" s="20"/>
      <c r="G211" s="35"/>
    </row>
    <row r="212" ht="16.5" customHeight="1">
      <c r="F212" s="20"/>
      <c r="G212" s="35"/>
    </row>
    <row r="213" ht="16.5" customHeight="1">
      <c r="F213" s="20"/>
      <c r="G213" s="35"/>
    </row>
    <row r="214" ht="16.5" customHeight="1">
      <c r="F214" s="20"/>
      <c r="G214" s="35"/>
    </row>
    <row r="215" ht="16.5" customHeight="1">
      <c r="F215" s="20"/>
      <c r="G215" s="35"/>
    </row>
    <row r="216" ht="16.5" customHeight="1">
      <c r="F216" s="20"/>
      <c r="G216" s="35"/>
    </row>
    <row r="217" ht="16.5" customHeight="1">
      <c r="F217" s="20"/>
      <c r="G217" s="35"/>
    </row>
    <row r="218" ht="16.5" customHeight="1">
      <c r="F218" s="20"/>
      <c r="G218" s="35"/>
    </row>
    <row r="219" ht="16.5" customHeight="1">
      <c r="F219" s="20"/>
      <c r="G219" s="35"/>
    </row>
    <row r="220" ht="16.5" customHeight="1">
      <c r="F220" s="20"/>
      <c r="G220" s="35"/>
    </row>
    <row r="221" ht="16.5" customHeight="1">
      <c r="F221" s="20"/>
      <c r="G221" s="35"/>
    </row>
    <row r="222" ht="16.5" customHeight="1">
      <c r="F222" s="20"/>
      <c r="G222" s="35"/>
    </row>
    <row r="223" ht="16.5" customHeight="1">
      <c r="F223" s="20"/>
      <c r="G223" s="35"/>
    </row>
    <row r="224" ht="16.5" customHeight="1">
      <c r="F224" s="20"/>
      <c r="G224" s="35"/>
    </row>
    <row r="225" ht="16.5" customHeight="1">
      <c r="F225" s="20"/>
      <c r="G225" s="35"/>
    </row>
    <row r="226" ht="16.5" customHeight="1">
      <c r="F226" s="20"/>
      <c r="G226" s="35"/>
    </row>
    <row r="227" ht="16.5" customHeight="1">
      <c r="F227" s="20"/>
      <c r="G227" s="35"/>
    </row>
    <row r="228" ht="16.5" customHeight="1">
      <c r="F228" s="20"/>
      <c r="G228" s="35"/>
    </row>
    <row r="229" ht="16.5" customHeight="1">
      <c r="F229" s="20"/>
      <c r="G229" s="35"/>
    </row>
    <row r="230" ht="16.5" customHeight="1">
      <c r="F230" s="20"/>
      <c r="G230" s="35"/>
    </row>
    <row r="231" ht="16.5" customHeight="1">
      <c r="F231" s="20"/>
      <c r="G231" s="35"/>
    </row>
    <row r="232" ht="16.5" customHeight="1">
      <c r="F232" s="20"/>
      <c r="G232" s="35"/>
    </row>
    <row r="233" ht="16.5" customHeight="1">
      <c r="F233" s="20"/>
      <c r="G233" s="35"/>
    </row>
    <row r="234" ht="16.5" customHeight="1">
      <c r="F234" s="20"/>
      <c r="G234" s="35"/>
    </row>
    <row r="235" ht="16.5" customHeight="1">
      <c r="F235" s="20"/>
      <c r="G235" s="35"/>
    </row>
    <row r="236" ht="16.5" customHeight="1">
      <c r="F236" s="20"/>
      <c r="G236" s="35"/>
    </row>
    <row r="237" ht="16.5" customHeight="1">
      <c r="F237" s="20"/>
      <c r="G237" s="35"/>
    </row>
    <row r="238" ht="16.5" customHeight="1">
      <c r="F238" s="20"/>
      <c r="G238" s="35"/>
    </row>
    <row r="239" ht="16.5" customHeight="1">
      <c r="F239" s="20"/>
      <c r="G239" s="35"/>
    </row>
    <row r="240" ht="16.5" customHeight="1">
      <c r="F240" s="20"/>
      <c r="G240" s="35"/>
    </row>
    <row r="241" ht="16.5" customHeight="1">
      <c r="F241" s="20"/>
      <c r="G241" s="35"/>
    </row>
    <row r="242" ht="16.5" customHeight="1">
      <c r="F242" s="20"/>
      <c r="G242" s="35"/>
    </row>
    <row r="243" ht="16.5" customHeight="1">
      <c r="F243" s="20"/>
      <c r="G243" s="35"/>
    </row>
    <row r="244" ht="16.5" customHeight="1">
      <c r="F244" s="20"/>
      <c r="G244" s="35"/>
    </row>
    <row r="245" ht="16.5" customHeight="1">
      <c r="F245" s="20"/>
      <c r="G245" s="35"/>
    </row>
    <row r="246" ht="16.5" customHeight="1">
      <c r="F246" s="20"/>
      <c r="G246" s="35"/>
    </row>
    <row r="247" ht="16.5" customHeight="1">
      <c r="F247" s="20"/>
      <c r="G247" s="35"/>
    </row>
    <row r="248" ht="16.5" customHeight="1">
      <c r="F248" s="20"/>
      <c r="G248" s="35"/>
    </row>
    <row r="249" ht="16.5" customHeight="1">
      <c r="F249" s="20"/>
      <c r="G249" s="35"/>
    </row>
    <row r="250" ht="16.5" customHeight="1">
      <c r="F250" s="20"/>
      <c r="G250" s="35"/>
    </row>
    <row r="251" ht="16.5" customHeight="1">
      <c r="F251" s="20"/>
      <c r="G251" s="35"/>
    </row>
    <row r="252" ht="16.5" customHeight="1">
      <c r="F252" s="20"/>
      <c r="G252" s="35"/>
    </row>
    <row r="253" ht="16.5" customHeight="1">
      <c r="F253" s="20"/>
      <c r="G253" s="35"/>
    </row>
    <row r="254" ht="16.5" customHeight="1">
      <c r="F254" s="20"/>
      <c r="G254" s="35"/>
    </row>
    <row r="255" ht="16.5" customHeight="1">
      <c r="F255" s="20"/>
      <c r="G255" s="35"/>
    </row>
    <row r="256" ht="16.5" customHeight="1">
      <c r="F256" s="20"/>
      <c r="G256" s="35"/>
    </row>
    <row r="257" ht="16.5" customHeight="1">
      <c r="F257" s="20"/>
      <c r="G257" s="35"/>
    </row>
    <row r="258" ht="16.5" customHeight="1">
      <c r="F258" s="20"/>
      <c r="G258" s="35"/>
    </row>
    <row r="259" ht="16.5" customHeight="1">
      <c r="F259" s="20"/>
      <c r="G259" s="35"/>
    </row>
    <row r="260" ht="16.5" customHeight="1">
      <c r="F260" s="20"/>
      <c r="G260" s="35"/>
    </row>
    <row r="261" ht="16.5" customHeight="1">
      <c r="F261" s="20"/>
      <c r="G261" s="35"/>
    </row>
    <row r="262" ht="16.5" customHeight="1">
      <c r="F262" s="20"/>
      <c r="G262" s="35"/>
    </row>
    <row r="263" ht="16.5" customHeight="1">
      <c r="F263" s="20"/>
      <c r="G263" s="35"/>
    </row>
    <row r="264" ht="16.5" customHeight="1">
      <c r="F264" s="20"/>
      <c r="G264" s="35"/>
    </row>
    <row r="265" ht="16.5" customHeight="1">
      <c r="F265" s="20"/>
      <c r="G265" s="35"/>
    </row>
    <row r="266" ht="16.5" customHeight="1">
      <c r="F266" s="20"/>
      <c r="G266" s="35"/>
    </row>
    <row r="267" ht="16.5" customHeight="1">
      <c r="F267" s="20"/>
      <c r="G267" s="35"/>
    </row>
    <row r="268" ht="16.5" customHeight="1">
      <c r="F268" s="20"/>
      <c r="G268" s="35"/>
    </row>
    <row r="269" ht="16.5" customHeight="1">
      <c r="F269" s="20"/>
      <c r="G269" s="35"/>
    </row>
    <row r="270" ht="16.5" customHeight="1">
      <c r="F270" s="20"/>
      <c r="G270" s="35"/>
    </row>
    <row r="271" ht="16.5" customHeight="1">
      <c r="F271" s="20"/>
      <c r="G271" s="35"/>
    </row>
    <row r="272" ht="16.5" customHeight="1">
      <c r="F272" s="20"/>
      <c r="G272" s="35"/>
    </row>
    <row r="273" ht="16.5" customHeight="1">
      <c r="F273" s="20"/>
      <c r="G273" s="35"/>
    </row>
    <row r="274" ht="16.5" customHeight="1">
      <c r="F274" s="20"/>
      <c r="G274" s="35"/>
    </row>
    <row r="275" ht="16.5" customHeight="1">
      <c r="F275" s="20"/>
      <c r="G275" s="35"/>
    </row>
    <row r="276" ht="16.5" customHeight="1">
      <c r="F276" s="20"/>
      <c r="G276" s="35"/>
    </row>
    <row r="277" ht="16.5" customHeight="1">
      <c r="F277" s="20"/>
      <c r="G277" s="35"/>
    </row>
    <row r="278" ht="16.5" customHeight="1">
      <c r="F278" s="20"/>
      <c r="G278" s="35"/>
    </row>
    <row r="279" ht="16.5" customHeight="1">
      <c r="F279" s="20"/>
      <c r="G279" s="35"/>
    </row>
    <row r="280" ht="16.5" customHeight="1">
      <c r="F280" s="20"/>
      <c r="G280" s="35"/>
    </row>
    <row r="281" ht="16.5" customHeight="1">
      <c r="F281" s="20"/>
      <c r="G281" s="35"/>
    </row>
    <row r="282" ht="16.5" customHeight="1">
      <c r="F282" s="20"/>
      <c r="G282" s="35"/>
    </row>
    <row r="283" ht="16.5" customHeight="1">
      <c r="F283" s="20"/>
      <c r="G283" s="35"/>
    </row>
    <row r="284" ht="16.5" customHeight="1">
      <c r="F284" s="20"/>
      <c r="G284" s="35"/>
    </row>
    <row r="285" ht="16.5" customHeight="1">
      <c r="F285" s="20"/>
      <c r="G285" s="35"/>
    </row>
    <row r="286" ht="16.5" customHeight="1">
      <c r="F286" s="20"/>
      <c r="G286" s="35"/>
    </row>
    <row r="287" ht="16.5" customHeight="1">
      <c r="F287" s="20"/>
      <c r="G287" s="35"/>
    </row>
    <row r="288" ht="16.5" customHeight="1">
      <c r="F288" s="20"/>
      <c r="G288" s="35"/>
    </row>
    <row r="289" ht="16.5" customHeight="1">
      <c r="F289" s="20"/>
      <c r="G289" s="35"/>
    </row>
    <row r="290" ht="16.5" customHeight="1">
      <c r="F290" s="20"/>
      <c r="G290" s="35"/>
    </row>
    <row r="291" ht="16.5" customHeight="1">
      <c r="F291" s="20"/>
      <c r="G291" s="35"/>
    </row>
    <row r="292" ht="16.5" customHeight="1">
      <c r="F292" s="20"/>
      <c r="G292" s="35"/>
    </row>
    <row r="293" ht="16.5" customHeight="1">
      <c r="F293" s="20"/>
      <c r="G293" s="35"/>
    </row>
    <row r="294" ht="16.5" customHeight="1">
      <c r="F294" s="20"/>
      <c r="G294" s="35"/>
    </row>
    <row r="295" ht="16.5" customHeight="1">
      <c r="F295" s="20"/>
      <c r="G295" s="35"/>
    </row>
    <row r="296" ht="16.5" customHeight="1">
      <c r="F296" s="20"/>
      <c r="G296" s="35"/>
    </row>
    <row r="297" ht="16.5" customHeight="1">
      <c r="F297" s="20"/>
      <c r="G297" s="35"/>
    </row>
    <row r="298" ht="16.5" customHeight="1">
      <c r="F298" s="20"/>
      <c r="G298" s="35"/>
    </row>
    <row r="299" ht="16.5" customHeight="1">
      <c r="F299" s="20"/>
      <c r="G299" s="35"/>
    </row>
    <row r="300" ht="16.5" customHeight="1">
      <c r="F300" s="20"/>
      <c r="G300" s="35"/>
    </row>
    <row r="301" ht="16.5" customHeight="1">
      <c r="F301" s="20"/>
      <c r="G301" s="35"/>
    </row>
    <row r="302" ht="16.5" customHeight="1">
      <c r="F302" s="20"/>
      <c r="G302" s="35"/>
    </row>
    <row r="303" ht="16.5" customHeight="1">
      <c r="F303" s="20"/>
      <c r="G303" s="35"/>
    </row>
    <row r="304" ht="16.5" customHeight="1">
      <c r="F304" s="20"/>
      <c r="G304" s="35"/>
    </row>
    <row r="305" ht="16.5" customHeight="1">
      <c r="F305" s="20"/>
      <c r="G305" s="35"/>
    </row>
    <row r="306" ht="16.5" customHeight="1">
      <c r="F306" s="20"/>
      <c r="G306" s="35"/>
    </row>
    <row r="307" ht="16.5" customHeight="1">
      <c r="F307" s="20"/>
      <c r="G307" s="35"/>
    </row>
    <row r="308" ht="16.5" customHeight="1">
      <c r="F308" s="20"/>
      <c r="G308" s="35"/>
    </row>
    <row r="309" ht="16.5" customHeight="1">
      <c r="F309" s="20"/>
      <c r="G309" s="35"/>
    </row>
    <row r="310" ht="16.5" customHeight="1">
      <c r="F310" s="20"/>
      <c r="G310" s="35"/>
    </row>
    <row r="311" ht="16.5" customHeight="1">
      <c r="F311" s="20"/>
      <c r="G311" s="35"/>
    </row>
    <row r="312" ht="16.5" customHeight="1">
      <c r="F312" s="20"/>
      <c r="G312" s="35"/>
    </row>
    <row r="313" ht="16.5" customHeight="1">
      <c r="F313" s="20"/>
      <c r="G313" s="35"/>
    </row>
    <row r="314" ht="16.5" customHeight="1">
      <c r="F314" s="20"/>
      <c r="G314" s="35"/>
    </row>
    <row r="315" ht="16.5" customHeight="1">
      <c r="F315" s="20"/>
      <c r="G315" s="35"/>
    </row>
    <row r="316" ht="16.5" customHeight="1">
      <c r="F316" s="20"/>
      <c r="G316" s="35"/>
    </row>
    <row r="317" ht="16.5" customHeight="1">
      <c r="F317" s="20"/>
      <c r="G317" s="35"/>
    </row>
    <row r="318" ht="16.5" customHeight="1">
      <c r="F318" s="20"/>
      <c r="G318" s="35"/>
    </row>
    <row r="319" ht="16.5" customHeight="1">
      <c r="F319" s="20"/>
      <c r="G319" s="35"/>
    </row>
    <row r="320" ht="16.5" customHeight="1">
      <c r="F320" s="20"/>
      <c r="G320" s="35"/>
    </row>
    <row r="321" ht="16.5" customHeight="1">
      <c r="F321" s="20"/>
      <c r="G321" s="35"/>
    </row>
    <row r="322" ht="16.5" customHeight="1">
      <c r="F322" s="20"/>
      <c r="G322" s="35"/>
    </row>
    <row r="323" ht="16.5" customHeight="1">
      <c r="F323" s="20"/>
      <c r="G323" s="35"/>
    </row>
    <row r="324" ht="16.5" customHeight="1">
      <c r="F324" s="20"/>
      <c r="G324" s="35"/>
    </row>
    <row r="325" ht="16.5" customHeight="1">
      <c r="F325" s="20"/>
      <c r="G325" s="35"/>
    </row>
    <row r="326" ht="16.5" customHeight="1">
      <c r="F326" s="20"/>
      <c r="G326" s="35"/>
    </row>
    <row r="327" ht="16.5" customHeight="1">
      <c r="F327" s="20"/>
      <c r="G327" s="35"/>
    </row>
    <row r="328" ht="16.5" customHeight="1">
      <c r="F328" s="20"/>
      <c r="G328" s="35"/>
    </row>
    <row r="329" ht="16.5" customHeight="1">
      <c r="F329" s="20"/>
      <c r="G329" s="35"/>
    </row>
    <row r="330" ht="16.5" customHeight="1">
      <c r="F330" s="20"/>
      <c r="G330" s="35"/>
    </row>
    <row r="331" ht="16.5" customHeight="1">
      <c r="F331" s="20"/>
      <c r="G331" s="35"/>
    </row>
    <row r="332" ht="16.5" customHeight="1">
      <c r="F332" s="20"/>
      <c r="G332" s="35"/>
    </row>
    <row r="333" ht="16.5" customHeight="1">
      <c r="F333" s="20"/>
      <c r="G333" s="35"/>
    </row>
    <row r="334" ht="16.5" customHeight="1">
      <c r="F334" s="20"/>
      <c r="G334" s="35"/>
    </row>
    <row r="335" ht="16.5" customHeight="1">
      <c r="F335" s="20"/>
      <c r="G335" s="35"/>
    </row>
    <row r="336" ht="16.5" customHeight="1">
      <c r="F336" s="20"/>
      <c r="G336" s="35"/>
    </row>
    <row r="337" ht="16.5" customHeight="1">
      <c r="F337" s="20"/>
      <c r="G337" s="35"/>
    </row>
    <row r="338" ht="16.5" customHeight="1">
      <c r="F338" s="20"/>
      <c r="G338" s="35"/>
    </row>
    <row r="339" ht="16.5" customHeight="1">
      <c r="F339" s="20"/>
      <c r="G339" s="35"/>
    </row>
    <row r="340" ht="16.5" customHeight="1">
      <c r="F340" s="20"/>
      <c r="G340" s="35"/>
    </row>
    <row r="341" ht="16.5" customHeight="1">
      <c r="F341" s="20"/>
      <c r="G341" s="35"/>
    </row>
    <row r="342" ht="16.5" customHeight="1">
      <c r="F342" s="20"/>
      <c r="G342" s="35"/>
    </row>
    <row r="343" ht="16.5" customHeight="1">
      <c r="F343" s="20"/>
      <c r="G343" s="35"/>
    </row>
    <row r="344" ht="16.5" customHeight="1">
      <c r="F344" s="20"/>
      <c r="G344" s="35"/>
    </row>
    <row r="345" ht="16.5" customHeight="1">
      <c r="F345" s="20"/>
      <c r="G345" s="35"/>
    </row>
    <row r="346" ht="16.5" customHeight="1">
      <c r="F346" s="20"/>
      <c r="G346" s="35"/>
    </row>
    <row r="347" ht="16.5" customHeight="1">
      <c r="F347" s="20"/>
      <c r="G347" s="35"/>
    </row>
    <row r="348" ht="16.5" customHeight="1">
      <c r="F348" s="20"/>
      <c r="G348" s="35"/>
    </row>
    <row r="349" ht="16.5" customHeight="1">
      <c r="F349" s="20"/>
      <c r="G349" s="35"/>
    </row>
    <row r="350" ht="16.5" customHeight="1">
      <c r="F350" s="20"/>
      <c r="G350" s="35"/>
    </row>
    <row r="351" ht="16.5" customHeight="1">
      <c r="F351" s="20"/>
      <c r="G351" s="35"/>
    </row>
    <row r="352" ht="16.5" customHeight="1">
      <c r="F352" s="20"/>
      <c r="G352" s="35"/>
    </row>
    <row r="353" ht="16.5" customHeight="1">
      <c r="F353" s="20"/>
      <c r="G353" s="35"/>
    </row>
    <row r="354" ht="16.5" customHeight="1">
      <c r="F354" s="20"/>
      <c r="G354" s="35"/>
    </row>
    <row r="355" ht="16.5" customHeight="1">
      <c r="F355" s="20"/>
      <c r="G355" s="35"/>
    </row>
    <row r="356" ht="16.5" customHeight="1">
      <c r="F356" s="20"/>
      <c r="G356" s="35"/>
    </row>
    <row r="357" ht="16.5" customHeight="1">
      <c r="F357" s="20"/>
      <c r="G357" s="35"/>
    </row>
    <row r="358" ht="16.5" customHeight="1">
      <c r="F358" s="20"/>
      <c r="G358" s="35"/>
    </row>
    <row r="359" ht="16.5" customHeight="1">
      <c r="F359" s="20"/>
      <c r="G359" s="35"/>
    </row>
    <row r="360" ht="16.5" customHeight="1">
      <c r="F360" s="20"/>
      <c r="G360" s="35"/>
    </row>
    <row r="361" ht="16.5" customHeight="1">
      <c r="F361" s="20"/>
      <c r="G361" s="35"/>
    </row>
    <row r="362" ht="16.5" customHeight="1">
      <c r="F362" s="20"/>
      <c r="G362" s="35"/>
    </row>
    <row r="363" ht="16.5" customHeight="1">
      <c r="F363" s="20"/>
      <c r="G363" s="35"/>
    </row>
    <row r="364" ht="16.5" customHeight="1">
      <c r="F364" s="20"/>
      <c r="G364" s="35"/>
    </row>
    <row r="365" ht="16.5" customHeight="1">
      <c r="F365" s="20"/>
      <c r="G365" s="35"/>
    </row>
    <row r="366" ht="16.5" customHeight="1">
      <c r="F366" s="20"/>
      <c r="G366" s="35"/>
    </row>
    <row r="367" ht="16.5" customHeight="1">
      <c r="F367" s="20"/>
      <c r="G367" s="35"/>
    </row>
    <row r="368" ht="16.5" customHeight="1">
      <c r="F368" s="20"/>
      <c r="G368" s="35"/>
    </row>
    <row r="369" ht="16.5" customHeight="1">
      <c r="F369" s="20"/>
      <c r="G369" s="35"/>
    </row>
    <row r="370" ht="16.5" customHeight="1">
      <c r="F370" s="20"/>
      <c r="G370" s="35"/>
    </row>
    <row r="371" ht="16.5" customHeight="1">
      <c r="F371" s="20"/>
      <c r="G371" s="35"/>
    </row>
    <row r="372" ht="16.5" customHeight="1">
      <c r="F372" s="20"/>
      <c r="G372" s="35"/>
    </row>
    <row r="373" ht="16.5" customHeight="1">
      <c r="F373" s="20"/>
      <c r="G373" s="35"/>
    </row>
    <row r="374" ht="16.5" customHeight="1">
      <c r="F374" s="20"/>
      <c r="G374" s="35"/>
    </row>
    <row r="375" ht="16.5" customHeight="1">
      <c r="F375" s="20"/>
      <c r="G375" s="35"/>
    </row>
    <row r="376" ht="16.5" customHeight="1">
      <c r="F376" s="20"/>
      <c r="G376" s="35"/>
    </row>
    <row r="377" ht="16.5" customHeight="1">
      <c r="F377" s="20"/>
      <c r="G377" s="35"/>
    </row>
    <row r="378" ht="16.5" customHeight="1">
      <c r="F378" s="20"/>
      <c r="G378" s="35"/>
    </row>
    <row r="379" ht="16.5" customHeight="1">
      <c r="F379" s="20"/>
      <c r="G379" s="35"/>
    </row>
    <row r="380" ht="16.5" customHeight="1">
      <c r="F380" s="20"/>
      <c r="G380" s="35"/>
    </row>
    <row r="381" ht="16.5" customHeight="1">
      <c r="F381" s="20"/>
      <c r="G381" s="35"/>
    </row>
    <row r="382" ht="16.5" customHeight="1">
      <c r="F382" s="20"/>
      <c r="G382" s="35"/>
    </row>
    <row r="383" ht="16.5" customHeight="1">
      <c r="F383" s="20"/>
      <c r="G383" s="35"/>
    </row>
    <row r="384" ht="16.5" customHeight="1">
      <c r="F384" s="20"/>
      <c r="G384" s="35"/>
    </row>
    <row r="385" ht="16.5" customHeight="1">
      <c r="F385" s="20"/>
      <c r="G385" s="35"/>
    </row>
    <row r="386" ht="16.5" customHeight="1">
      <c r="F386" s="20"/>
      <c r="G386" s="35"/>
    </row>
    <row r="387" ht="16.5" customHeight="1">
      <c r="F387" s="20"/>
      <c r="G387" s="35"/>
    </row>
    <row r="388" ht="16.5" customHeight="1">
      <c r="F388" s="20"/>
      <c r="G388" s="35"/>
    </row>
    <row r="389" ht="16.5" customHeight="1">
      <c r="F389" s="20"/>
      <c r="G389" s="35"/>
    </row>
    <row r="390" ht="16.5" customHeight="1">
      <c r="F390" s="20"/>
      <c r="G390" s="35"/>
    </row>
    <row r="391" ht="16.5" customHeight="1">
      <c r="F391" s="20"/>
      <c r="G391" s="35"/>
    </row>
    <row r="392" ht="16.5" customHeight="1">
      <c r="F392" s="20"/>
      <c r="G392" s="35"/>
    </row>
    <row r="393" ht="16.5" customHeight="1">
      <c r="F393" s="20"/>
      <c r="G393" s="35"/>
    </row>
    <row r="394" ht="16.5" customHeight="1">
      <c r="F394" s="20"/>
      <c r="G394" s="35"/>
    </row>
    <row r="395" ht="16.5" customHeight="1">
      <c r="F395" s="20"/>
      <c r="G395" s="35"/>
    </row>
    <row r="396" ht="16.5" customHeight="1">
      <c r="F396" s="20"/>
      <c r="G396" s="35"/>
    </row>
    <row r="397" ht="16.5" customHeight="1">
      <c r="F397" s="20"/>
      <c r="G397" s="35"/>
    </row>
    <row r="398" ht="16.5" customHeight="1">
      <c r="F398" s="20"/>
      <c r="G398" s="35"/>
    </row>
    <row r="399" ht="16.5" customHeight="1">
      <c r="F399" s="20"/>
      <c r="G399" s="35"/>
    </row>
    <row r="400" ht="16.5" customHeight="1">
      <c r="F400" s="20"/>
      <c r="G400" s="35"/>
    </row>
    <row r="401" ht="16.5" customHeight="1">
      <c r="F401" s="20"/>
      <c r="G401" s="35"/>
    </row>
    <row r="402" ht="16.5" customHeight="1">
      <c r="F402" s="20"/>
      <c r="G402" s="35"/>
    </row>
    <row r="403" ht="16.5" customHeight="1">
      <c r="F403" s="20"/>
      <c r="G403" s="35"/>
    </row>
    <row r="404" ht="16.5" customHeight="1">
      <c r="F404" s="20"/>
      <c r="G404" s="35"/>
    </row>
    <row r="405" ht="16.5" customHeight="1">
      <c r="F405" s="20"/>
      <c r="G405" s="35"/>
    </row>
    <row r="406" ht="16.5" customHeight="1">
      <c r="F406" s="20"/>
      <c r="G406" s="35"/>
    </row>
    <row r="407" ht="16.5" customHeight="1">
      <c r="F407" s="20"/>
      <c r="G407" s="35"/>
    </row>
    <row r="408" ht="16.5" customHeight="1">
      <c r="F408" s="20"/>
      <c r="G408" s="35"/>
    </row>
    <row r="409" ht="16.5" customHeight="1">
      <c r="F409" s="20"/>
      <c r="G409" s="35"/>
    </row>
    <row r="410" ht="16.5" customHeight="1">
      <c r="F410" s="20"/>
      <c r="G410" s="35"/>
    </row>
    <row r="411" ht="16.5" customHeight="1">
      <c r="F411" s="20"/>
      <c r="G411" s="35"/>
    </row>
    <row r="412" ht="16.5" customHeight="1">
      <c r="F412" s="20"/>
      <c r="G412" s="35"/>
    </row>
    <row r="413" ht="16.5" customHeight="1">
      <c r="F413" s="20"/>
      <c r="G413" s="35"/>
    </row>
    <row r="414" ht="16.5" customHeight="1">
      <c r="F414" s="20"/>
      <c r="G414" s="35"/>
    </row>
    <row r="415" ht="16.5" customHeight="1">
      <c r="F415" s="20"/>
      <c r="G415" s="35"/>
    </row>
    <row r="416" ht="16.5" customHeight="1">
      <c r="F416" s="20"/>
      <c r="G416" s="35"/>
    </row>
    <row r="417" ht="16.5" customHeight="1">
      <c r="F417" s="20"/>
      <c r="G417" s="35"/>
    </row>
    <row r="418" ht="16.5" customHeight="1">
      <c r="F418" s="20"/>
      <c r="G418" s="35"/>
    </row>
    <row r="419" ht="16.5" customHeight="1">
      <c r="F419" s="20"/>
      <c r="G419" s="35"/>
    </row>
    <row r="420" ht="16.5" customHeight="1">
      <c r="F420" s="20"/>
      <c r="G420" s="35"/>
    </row>
    <row r="421" ht="16.5" customHeight="1">
      <c r="F421" s="20"/>
      <c r="G421" s="35"/>
    </row>
    <row r="422" ht="16.5" customHeight="1">
      <c r="F422" s="20"/>
      <c r="G422" s="35"/>
    </row>
    <row r="423" ht="16.5" customHeight="1">
      <c r="F423" s="20"/>
      <c r="G423" s="35"/>
    </row>
    <row r="424" ht="16.5" customHeight="1">
      <c r="F424" s="20"/>
      <c r="G424" s="35"/>
    </row>
    <row r="425" ht="16.5" customHeight="1">
      <c r="F425" s="20"/>
      <c r="G425" s="35"/>
    </row>
    <row r="426" ht="16.5" customHeight="1">
      <c r="F426" s="20"/>
      <c r="G426" s="35"/>
    </row>
    <row r="427" ht="16.5" customHeight="1">
      <c r="F427" s="20"/>
      <c r="G427" s="35"/>
    </row>
    <row r="428" ht="16.5" customHeight="1">
      <c r="F428" s="20"/>
      <c r="G428" s="35"/>
    </row>
    <row r="429" ht="16.5" customHeight="1">
      <c r="F429" s="20"/>
      <c r="G429" s="35"/>
    </row>
    <row r="430" ht="16.5" customHeight="1">
      <c r="F430" s="20"/>
      <c r="G430" s="35"/>
    </row>
    <row r="431" ht="16.5" customHeight="1">
      <c r="F431" s="20"/>
      <c r="G431" s="35"/>
    </row>
    <row r="432" ht="16.5" customHeight="1">
      <c r="F432" s="20"/>
      <c r="G432" s="35"/>
    </row>
    <row r="433" ht="16.5" customHeight="1">
      <c r="F433" s="20"/>
      <c r="G433" s="35"/>
    </row>
    <row r="434" ht="16.5" customHeight="1">
      <c r="F434" s="20"/>
      <c r="G434" s="35"/>
    </row>
    <row r="435" ht="16.5" customHeight="1">
      <c r="F435" s="20"/>
      <c r="G435" s="35"/>
    </row>
    <row r="436" ht="16.5" customHeight="1">
      <c r="F436" s="20"/>
      <c r="G436" s="35"/>
    </row>
    <row r="437" ht="16.5" customHeight="1">
      <c r="F437" s="20"/>
      <c r="G437" s="35"/>
    </row>
    <row r="438" ht="16.5" customHeight="1">
      <c r="F438" s="20"/>
      <c r="G438" s="35"/>
    </row>
    <row r="439" ht="16.5" customHeight="1">
      <c r="F439" s="20"/>
      <c r="G439" s="35"/>
    </row>
    <row r="440" ht="16.5" customHeight="1">
      <c r="F440" s="20"/>
      <c r="G440" s="35"/>
    </row>
    <row r="441" ht="16.5" customHeight="1">
      <c r="F441" s="20"/>
      <c r="G441" s="35"/>
    </row>
    <row r="442" ht="16.5" customHeight="1">
      <c r="F442" s="20"/>
      <c r="G442" s="35"/>
    </row>
    <row r="443" ht="16.5" customHeight="1">
      <c r="F443" s="20"/>
      <c r="G443" s="35"/>
    </row>
    <row r="444" ht="16.5" customHeight="1">
      <c r="F444" s="20"/>
      <c r="G444" s="35"/>
    </row>
    <row r="445" ht="16.5" customHeight="1">
      <c r="F445" s="20"/>
      <c r="G445" s="35"/>
    </row>
    <row r="446" ht="16.5" customHeight="1">
      <c r="F446" s="20"/>
      <c r="G446" s="35"/>
    </row>
    <row r="447" ht="16.5" customHeight="1">
      <c r="F447" s="20"/>
      <c r="G447" s="35"/>
    </row>
    <row r="448" ht="16.5" customHeight="1">
      <c r="F448" s="20"/>
      <c r="G448" s="35"/>
    </row>
    <row r="449" ht="16.5" customHeight="1">
      <c r="F449" s="20"/>
      <c r="G449" s="35"/>
    </row>
    <row r="450" ht="16.5" customHeight="1">
      <c r="F450" s="20"/>
      <c r="G450" s="35"/>
    </row>
    <row r="451" ht="16.5" customHeight="1">
      <c r="F451" s="20"/>
      <c r="G451" s="35"/>
    </row>
    <row r="452" ht="16.5" customHeight="1">
      <c r="F452" s="20"/>
      <c r="G452" s="35"/>
    </row>
    <row r="453" ht="16.5" customHeight="1">
      <c r="F453" s="20"/>
      <c r="G453" s="35"/>
    </row>
    <row r="454" ht="16.5" customHeight="1">
      <c r="F454" s="20"/>
      <c r="G454" s="35"/>
    </row>
    <row r="455" ht="16.5" customHeight="1">
      <c r="F455" s="20"/>
      <c r="G455" s="35"/>
    </row>
    <row r="456" ht="16.5" customHeight="1">
      <c r="F456" s="20"/>
      <c r="G456" s="35"/>
    </row>
    <row r="457" ht="16.5" customHeight="1">
      <c r="F457" s="20"/>
      <c r="G457" s="35"/>
    </row>
    <row r="458" ht="16.5" customHeight="1">
      <c r="F458" s="20"/>
      <c r="G458" s="35"/>
    </row>
    <row r="459" ht="16.5" customHeight="1">
      <c r="F459" s="20"/>
      <c r="G459" s="35"/>
    </row>
    <row r="460" ht="16.5" customHeight="1">
      <c r="F460" s="20"/>
      <c r="G460" s="35"/>
    </row>
    <row r="461" ht="16.5" customHeight="1">
      <c r="F461" s="20"/>
      <c r="G461" s="35"/>
    </row>
    <row r="462" ht="16.5" customHeight="1">
      <c r="F462" s="20"/>
      <c r="G462" s="35"/>
    </row>
    <row r="463" ht="16.5" customHeight="1">
      <c r="F463" s="20"/>
      <c r="G463" s="35"/>
    </row>
    <row r="464" ht="16.5" customHeight="1">
      <c r="F464" s="20"/>
      <c r="G464" s="35"/>
    </row>
    <row r="465" ht="16.5" customHeight="1">
      <c r="F465" s="20"/>
      <c r="G465" s="35"/>
    </row>
    <row r="466" ht="16.5" customHeight="1">
      <c r="F466" s="20"/>
      <c r="G466" s="35"/>
    </row>
    <row r="467" ht="16.5" customHeight="1">
      <c r="F467" s="20"/>
      <c r="G467" s="35"/>
    </row>
    <row r="468" ht="16.5" customHeight="1">
      <c r="F468" s="20"/>
      <c r="G468" s="35"/>
    </row>
    <row r="469" ht="16.5" customHeight="1">
      <c r="F469" s="20"/>
      <c r="G469" s="35"/>
    </row>
    <row r="470" ht="16.5" customHeight="1">
      <c r="F470" s="20"/>
      <c r="G470" s="35"/>
    </row>
    <row r="471" ht="16.5" customHeight="1">
      <c r="F471" s="20"/>
      <c r="G471" s="35"/>
    </row>
    <row r="472" ht="16.5" customHeight="1">
      <c r="F472" s="20"/>
      <c r="G472" s="35"/>
    </row>
    <row r="473" ht="16.5" customHeight="1">
      <c r="F473" s="20"/>
      <c r="G473" s="35"/>
    </row>
    <row r="474" ht="16.5" customHeight="1">
      <c r="F474" s="20"/>
      <c r="G474" s="35"/>
    </row>
    <row r="475" ht="16.5" customHeight="1">
      <c r="F475" s="20"/>
      <c r="G475" s="35"/>
    </row>
    <row r="476" ht="16.5" customHeight="1">
      <c r="F476" s="20"/>
      <c r="G476" s="35"/>
    </row>
    <row r="477" ht="16.5" customHeight="1">
      <c r="F477" s="20"/>
      <c r="G477" s="35"/>
    </row>
    <row r="478" ht="16.5" customHeight="1">
      <c r="F478" s="20"/>
      <c r="G478" s="35"/>
    </row>
    <row r="479" ht="16.5" customHeight="1">
      <c r="F479" s="20"/>
      <c r="G479" s="35"/>
    </row>
    <row r="480" ht="16.5" customHeight="1">
      <c r="F480" s="20"/>
      <c r="G480" s="35"/>
    </row>
    <row r="481" ht="16.5" customHeight="1">
      <c r="F481" s="20"/>
      <c r="G481" s="35"/>
    </row>
    <row r="482" ht="16.5" customHeight="1">
      <c r="F482" s="20"/>
      <c r="G482" s="35"/>
    </row>
    <row r="483" ht="16.5" customHeight="1">
      <c r="F483" s="20"/>
      <c r="G483" s="35"/>
    </row>
    <row r="484" ht="16.5" customHeight="1">
      <c r="F484" s="20"/>
      <c r="G484" s="35"/>
    </row>
    <row r="485" ht="16.5" customHeight="1">
      <c r="F485" s="20"/>
      <c r="G485" s="35"/>
    </row>
    <row r="486" ht="16.5" customHeight="1">
      <c r="F486" s="20"/>
      <c r="G486" s="35"/>
    </row>
    <row r="487" ht="16.5" customHeight="1">
      <c r="F487" s="20"/>
      <c r="G487" s="35"/>
    </row>
    <row r="488" ht="16.5" customHeight="1">
      <c r="F488" s="20"/>
      <c r="G488" s="35"/>
    </row>
    <row r="489" ht="16.5" customHeight="1">
      <c r="F489" s="20"/>
      <c r="G489" s="35"/>
    </row>
    <row r="490" ht="16.5" customHeight="1">
      <c r="F490" s="20"/>
      <c r="G490" s="35"/>
    </row>
    <row r="491" ht="16.5" customHeight="1">
      <c r="F491" s="20"/>
      <c r="G491" s="35"/>
    </row>
    <row r="492" ht="16.5" customHeight="1">
      <c r="F492" s="20"/>
      <c r="G492" s="35"/>
    </row>
    <row r="493" ht="16.5" customHeight="1">
      <c r="F493" s="20"/>
      <c r="G493" s="35"/>
    </row>
    <row r="494" ht="16.5" customHeight="1">
      <c r="F494" s="20"/>
      <c r="G494" s="35"/>
    </row>
    <row r="495" ht="16.5" customHeight="1">
      <c r="F495" s="20"/>
      <c r="G495" s="35"/>
    </row>
    <row r="496" ht="16.5" customHeight="1">
      <c r="F496" s="20"/>
      <c r="G496" s="35"/>
    </row>
    <row r="497" ht="16.5" customHeight="1">
      <c r="F497" s="20"/>
      <c r="G497" s="35"/>
    </row>
    <row r="498" ht="16.5" customHeight="1">
      <c r="F498" s="20"/>
      <c r="G498" s="35"/>
    </row>
    <row r="499" ht="16.5" customHeight="1">
      <c r="F499" s="20"/>
      <c r="G499" s="35"/>
    </row>
    <row r="500" ht="16.5" customHeight="1">
      <c r="F500" s="20"/>
      <c r="G500" s="35"/>
    </row>
    <row r="501" ht="16.5" customHeight="1">
      <c r="F501" s="20"/>
      <c r="G501" s="35"/>
    </row>
    <row r="502" ht="16.5" customHeight="1">
      <c r="F502" s="20"/>
      <c r="G502" s="35"/>
    </row>
    <row r="503" ht="16.5" customHeight="1">
      <c r="F503" s="20"/>
      <c r="G503" s="35"/>
    </row>
    <row r="504" ht="16.5" customHeight="1">
      <c r="F504" s="20"/>
      <c r="G504" s="35"/>
    </row>
    <row r="505" ht="16.5" customHeight="1">
      <c r="F505" s="20"/>
      <c r="G505" s="35"/>
    </row>
    <row r="506" ht="16.5" customHeight="1">
      <c r="F506" s="20"/>
      <c r="G506" s="35"/>
    </row>
    <row r="507" ht="16.5" customHeight="1">
      <c r="F507" s="20"/>
      <c r="G507" s="35"/>
    </row>
    <row r="508" ht="16.5" customHeight="1">
      <c r="F508" s="20"/>
      <c r="G508" s="35"/>
    </row>
    <row r="509" ht="16.5" customHeight="1">
      <c r="F509" s="20"/>
      <c r="G509" s="35"/>
    </row>
    <row r="510" ht="16.5" customHeight="1">
      <c r="F510" s="20"/>
      <c r="G510" s="35"/>
    </row>
    <row r="511" ht="16.5" customHeight="1">
      <c r="F511" s="20"/>
      <c r="G511" s="35"/>
    </row>
    <row r="512" ht="16.5" customHeight="1">
      <c r="F512" s="20"/>
      <c r="G512" s="35"/>
    </row>
    <row r="513" ht="16.5" customHeight="1">
      <c r="F513" s="20"/>
      <c r="G513" s="35"/>
    </row>
    <row r="514" ht="16.5" customHeight="1">
      <c r="F514" s="20"/>
      <c r="G514" s="35"/>
    </row>
    <row r="515" ht="16.5" customHeight="1">
      <c r="F515" s="20"/>
      <c r="G515" s="35"/>
    </row>
    <row r="516" ht="16.5" customHeight="1">
      <c r="F516" s="20"/>
      <c r="G516" s="35"/>
    </row>
    <row r="517" ht="16.5" customHeight="1">
      <c r="F517" s="20"/>
      <c r="G517" s="35"/>
    </row>
    <row r="518" ht="16.5" customHeight="1">
      <c r="F518" s="20"/>
      <c r="G518" s="35"/>
    </row>
    <row r="519" ht="16.5" customHeight="1">
      <c r="F519" s="20"/>
      <c r="G519" s="35"/>
    </row>
    <row r="520" ht="16.5" customHeight="1">
      <c r="F520" s="20"/>
      <c r="G520" s="35"/>
    </row>
    <row r="521" ht="16.5" customHeight="1">
      <c r="F521" s="20"/>
      <c r="G521" s="35"/>
    </row>
    <row r="522" ht="16.5" customHeight="1">
      <c r="F522" s="20"/>
      <c r="G522" s="35"/>
    </row>
    <row r="523" ht="16.5" customHeight="1">
      <c r="F523" s="20"/>
      <c r="G523" s="35"/>
    </row>
    <row r="524" ht="16.5" customHeight="1">
      <c r="F524" s="20"/>
      <c r="G524" s="35"/>
    </row>
    <row r="525" ht="16.5" customHeight="1">
      <c r="F525" s="20"/>
      <c r="G525" s="35"/>
    </row>
    <row r="526" ht="16.5" customHeight="1">
      <c r="F526" s="20"/>
      <c r="G526" s="35"/>
    </row>
    <row r="527" ht="16.5" customHeight="1">
      <c r="F527" s="20"/>
      <c r="G527" s="35"/>
    </row>
    <row r="528" ht="16.5" customHeight="1">
      <c r="F528" s="20"/>
      <c r="G528" s="35"/>
    </row>
    <row r="529" ht="16.5" customHeight="1">
      <c r="F529" s="20"/>
      <c r="G529" s="35"/>
    </row>
    <row r="530" ht="16.5" customHeight="1">
      <c r="F530" s="20"/>
      <c r="G530" s="35"/>
    </row>
    <row r="531" ht="16.5" customHeight="1">
      <c r="F531" s="20"/>
      <c r="G531" s="35"/>
    </row>
    <row r="532" ht="16.5" customHeight="1">
      <c r="F532" s="20"/>
      <c r="G532" s="35"/>
    </row>
    <row r="533" ht="16.5" customHeight="1">
      <c r="F533" s="20"/>
      <c r="G533" s="35"/>
    </row>
    <row r="534" ht="16.5" customHeight="1">
      <c r="F534" s="20"/>
      <c r="G534" s="35"/>
    </row>
    <row r="535" ht="16.5" customHeight="1">
      <c r="F535" s="20"/>
      <c r="G535" s="35"/>
    </row>
    <row r="536" ht="16.5" customHeight="1">
      <c r="F536" s="20"/>
      <c r="G536" s="35"/>
    </row>
    <row r="537" ht="16.5" customHeight="1">
      <c r="F537" s="20"/>
      <c r="G537" s="35"/>
    </row>
    <row r="538" ht="16.5" customHeight="1">
      <c r="F538" s="20"/>
      <c r="G538" s="35"/>
    </row>
    <row r="539" ht="16.5" customHeight="1">
      <c r="F539" s="20"/>
      <c r="G539" s="35"/>
    </row>
    <row r="540" ht="16.5" customHeight="1">
      <c r="F540" s="20"/>
      <c r="G540" s="35"/>
    </row>
    <row r="541" ht="16.5" customHeight="1">
      <c r="F541" s="20"/>
      <c r="G541" s="35"/>
    </row>
    <row r="542" ht="16.5" customHeight="1">
      <c r="F542" s="20"/>
      <c r="G542" s="35"/>
    </row>
    <row r="543" ht="16.5" customHeight="1">
      <c r="F543" s="20"/>
      <c r="G543" s="35"/>
    </row>
    <row r="544" ht="16.5" customHeight="1">
      <c r="F544" s="20"/>
      <c r="G544" s="35"/>
    </row>
    <row r="545" ht="16.5" customHeight="1">
      <c r="F545" s="20"/>
      <c r="G545" s="35"/>
    </row>
    <row r="546" ht="16.5" customHeight="1">
      <c r="F546" s="20"/>
      <c r="G546" s="35"/>
    </row>
    <row r="547" ht="16.5" customHeight="1">
      <c r="F547" s="20"/>
      <c r="G547" s="35"/>
    </row>
    <row r="548" ht="16.5" customHeight="1">
      <c r="F548" s="20"/>
      <c r="G548" s="35"/>
    </row>
    <row r="549" ht="16.5" customHeight="1">
      <c r="F549" s="20"/>
      <c r="G549" s="35"/>
    </row>
    <row r="550" ht="16.5" customHeight="1">
      <c r="F550" s="20"/>
      <c r="G550" s="35"/>
    </row>
    <row r="551" ht="16.5" customHeight="1">
      <c r="F551" s="20"/>
      <c r="G551" s="35"/>
    </row>
    <row r="552" ht="16.5" customHeight="1">
      <c r="F552" s="20"/>
      <c r="G552" s="35"/>
    </row>
    <row r="553" ht="16.5" customHeight="1">
      <c r="F553" s="20"/>
      <c r="G553" s="35"/>
    </row>
    <row r="554" ht="16.5" customHeight="1">
      <c r="F554" s="20"/>
      <c r="G554" s="35"/>
    </row>
    <row r="555" ht="16.5" customHeight="1">
      <c r="F555" s="20"/>
      <c r="G555" s="35"/>
    </row>
    <row r="556" ht="16.5" customHeight="1">
      <c r="F556" s="20"/>
      <c r="G556" s="35"/>
    </row>
    <row r="557" ht="16.5" customHeight="1">
      <c r="F557" s="20"/>
      <c r="G557" s="35"/>
    </row>
    <row r="558" ht="16.5" customHeight="1">
      <c r="F558" s="20"/>
      <c r="G558" s="35"/>
    </row>
    <row r="559" ht="16.5" customHeight="1">
      <c r="F559" s="20"/>
      <c r="G559" s="35"/>
    </row>
    <row r="560" ht="16.5" customHeight="1">
      <c r="F560" s="20"/>
      <c r="G560" s="35"/>
    </row>
    <row r="561" ht="16.5" customHeight="1">
      <c r="F561" s="20"/>
      <c r="G561" s="35"/>
    </row>
    <row r="562" ht="16.5" customHeight="1">
      <c r="F562" s="20"/>
      <c r="G562" s="35"/>
    </row>
    <row r="563" ht="16.5" customHeight="1">
      <c r="F563" s="20"/>
      <c r="G563" s="35"/>
    </row>
    <row r="564" ht="16.5" customHeight="1">
      <c r="F564" s="20"/>
      <c r="G564" s="35"/>
    </row>
    <row r="565" ht="16.5" customHeight="1">
      <c r="F565" s="20"/>
      <c r="G565" s="35"/>
    </row>
    <row r="566" ht="16.5" customHeight="1">
      <c r="F566" s="20"/>
      <c r="G566" s="35"/>
    </row>
    <row r="567" ht="16.5" customHeight="1">
      <c r="F567" s="20"/>
      <c r="G567" s="35"/>
    </row>
    <row r="568" ht="16.5" customHeight="1">
      <c r="F568" s="20"/>
      <c r="G568" s="35"/>
    </row>
    <row r="569" ht="16.5" customHeight="1">
      <c r="F569" s="20"/>
      <c r="G569" s="35"/>
    </row>
    <row r="570" ht="16.5" customHeight="1">
      <c r="F570" s="20"/>
      <c r="G570" s="35"/>
    </row>
    <row r="571" ht="16.5" customHeight="1">
      <c r="F571" s="20"/>
      <c r="G571" s="35"/>
    </row>
    <row r="572" ht="16.5" customHeight="1">
      <c r="F572" s="20"/>
      <c r="G572" s="35"/>
    </row>
    <row r="573" ht="16.5" customHeight="1">
      <c r="F573" s="20"/>
      <c r="G573" s="35"/>
    </row>
    <row r="574" ht="16.5" customHeight="1">
      <c r="F574" s="20"/>
      <c r="G574" s="35"/>
    </row>
    <row r="575" ht="16.5" customHeight="1">
      <c r="F575" s="20"/>
      <c r="G575" s="35"/>
    </row>
    <row r="576" ht="16.5" customHeight="1">
      <c r="F576" s="20"/>
      <c r="G576" s="35"/>
    </row>
    <row r="577" ht="16.5" customHeight="1">
      <c r="F577" s="20"/>
      <c r="G577" s="35"/>
    </row>
    <row r="578" ht="16.5" customHeight="1">
      <c r="F578" s="20"/>
      <c r="G578" s="35"/>
    </row>
    <row r="579" ht="16.5" customHeight="1">
      <c r="F579" s="20"/>
      <c r="G579" s="35"/>
    </row>
    <row r="580" ht="16.5" customHeight="1">
      <c r="F580" s="20"/>
      <c r="G580" s="35"/>
    </row>
    <row r="581" ht="16.5" customHeight="1">
      <c r="F581" s="20"/>
      <c r="G581" s="35"/>
    </row>
    <row r="582" ht="16.5" customHeight="1">
      <c r="F582" s="20"/>
      <c r="G582" s="35"/>
    </row>
    <row r="583" ht="16.5" customHeight="1">
      <c r="F583" s="20"/>
      <c r="G583" s="35"/>
    </row>
    <row r="584" ht="16.5" customHeight="1">
      <c r="F584" s="20"/>
      <c r="G584" s="35"/>
    </row>
    <row r="585" ht="16.5" customHeight="1">
      <c r="F585" s="20"/>
      <c r="G585" s="35"/>
    </row>
    <row r="586" ht="16.5" customHeight="1">
      <c r="F586" s="20"/>
      <c r="G586" s="35"/>
    </row>
    <row r="587" ht="16.5" customHeight="1">
      <c r="F587" s="20"/>
      <c r="G587" s="35"/>
    </row>
    <row r="588" ht="16.5" customHeight="1">
      <c r="F588" s="20"/>
      <c r="G588" s="35"/>
    </row>
    <row r="589" ht="16.5" customHeight="1">
      <c r="F589" s="20"/>
      <c r="G589" s="35"/>
    </row>
    <row r="590" ht="16.5" customHeight="1">
      <c r="F590" s="20"/>
      <c r="G590" s="35"/>
    </row>
    <row r="591" ht="16.5" customHeight="1">
      <c r="F591" s="20"/>
      <c r="G591" s="35"/>
    </row>
    <row r="592" ht="16.5" customHeight="1">
      <c r="F592" s="20"/>
      <c r="G592" s="35"/>
    </row>
    <row r="593" ht="16.5" customHeight="1">
      <c r="F593" s="20"/>
      <c r="G593" s="35"/>
    </row>
    <row r="594" ht="16.5" customHeight="1">
      <c r="F594" s="20"/>
      <c r="G594" s="35"/>
    </row>
    <row r="595" ht="16.5" customHeight="1">
      <c r="F595" s="20"/>
      <c r="G595" s="35"/>
    </row>
    <row r="596" ht="16.5" customHeight="1">
      <c r="F596" s="20"/>
      <c r="G596" s="35"/>
    </row>
    <row r="597" ht="16.5" customHeight="1">
      <c r="F597" s="20"/>
      <c r="G597" s="35"/>
    </row>
    <row r="598" ht="16.5" customHeight="1">
      <c r="F598" s="20"/>
      <c r="G598" s="35"/>
    </row>
    <row r="599" ht="16.5" customHeight="1">
      <c r="F599" s="20"/>
      <c r="G599" s="35"/>
    </row>
    <row r="600" ht="16.5" customHeight="1">
      <c r="F600" s="20"/>
      <c r="G600" s="35"/>
    </row>
    <row r="601" ht="16.5" customHeight="1">
      <c r="F601" s="20"/>
      <c r="G601" s="35"/>
    </row>
    <row r="602" ht="16.5" customHeight="1">
      <c r="F602" s="20"/>
      <c r="G602" s="35"/>
    </row>
    <row r="603" ht="16.5" customHeight="1">
      <c r="F603" s="20"/>
      <c r="G603" s="35"/>
    </row>
    <row r="604" ht="16.5" customHeight="1">
      <c r="F604" s="20"/>
      <c r="G604" s="35"/>
    </row>
    <row r="605" ht="16.5" customHeight="1">
      <c r="F605" s="20"/>
      <c r="G605" s="35"/>
    </row>
    <row r="606" ht="16.5" customHeight="1">
      <c r="F606" s="20"/>
      <c r="G606" s="35"/>
    </row>
    <row r="607" ht="16.5" customHeight="1">
      <c r="F607" s="20"/>
      <c r="G607" s="35"/>
    </row>
    <row r="608" ht="16.5" customHeight="1">
      <c r="F608" s="20"/>
      <c r="G608" s="35"/>
    </row>
    <row r="609" ht="16.5" customHeight="1">
      <c r="F609" s="20"/>
      <c r="G609" s="35"/>
    </row>
    <row r="610" ht="16.5" customHeight="1">
      <c r="F610" s="20"/>
      <c r="G610" s="35"/>
    </row>
    <row r="611" ht="16.5" customHeight="1">
      <c r="F611" s="20"/>
      <c r="G611" s="35"/>
    </row>
    <row r="612" ht="16.5" customHeight="1">
      <c r="F612" s="20"/>
      <c r="G612" s="35"/>
    </row>
    <row r="613" ht="16.5" customHeight="1">
      <c r="F613" s="20"/>
      <c r="G613" s="35"/>
    </row>
    <row r="614" ht="16.5" customHeight="1">
      <c r="F614" s="20"/>
      <c r="G614" s="35"/>
    </row>
    <row r="615" ht="16.5" customHeight="1">
      <c r="F615" s="20"/>
      <c r="G615" s="35"/>
    </row>
    <row r="616" ht="16.5" customHeight="1">
      <c r="F616" s="20"/>
      <c r="G616" s="35"/>
    </row>
    <row r="617" ht="16.5" customHeight="1">
      <c r="F617" s="20"/>
      <c r="G617" s="35"/>
    </row>
    <row r="618" ht="16.5" customHeight="1">
      <c r="F618" s="20"/>
      <c r="G618" s="35"/>
    </row>
    <row r="619" ht="16.5" customHeight="1">
      <c r="F619" s="20"/>
      <c r="G619" s="35"/>
    </row>
    <row r="620" ht="16.5" customHeight="1">
      <c r="F620" s="20"/>
      <c r="G620" s="35"/>
    </row>
    <row r="621" ht="16.5" customHeight="1">
      <c r="F621" s="20"/>
      <c r="G621" s="35"/>
    </row>
    <row r="622" ht="16.5" customHeight="1">
      <c r="F622" s="20"/>
      <c r="G622" s="35"/>
    </row>
    <row r="623" ht="16.5" customHeight="1">
      <c r="F623" s="20"/>
      <c r="G623" s="35"/>
    </row>
    <row r="624" ht="16.5" customHeight="1">
      <c r="F624" s="20"/>
      <c r="G624" s="35"/>
    </row>
    <row r="625" ht="16.5" customHeight="1">
      <c r="F625" s="20"/>
      <c r="G625" s="35"/>
    </row>
    <row r="626" ht="16.5" customHeight="1">
      <c r="F626" s="20"/>
      <c r="G626" s="35"/>
    </row>
    <row r="627" ht="16.5" customHeight="1">
      <c r="F627" s="20"/>
      <c r="G627" s="35"/>
    </row>
    <row r="628" ht="16.5" customHeight="1">
      <c r="F628" s="20"/>
      <c r="G628" s="35"/>
    </row>
    <row r="629" ht="16.5" customHeight="1">
      <c r="F629" s="20"/>
      <c r="G629" s="35"/>
    </row>
    <row r="630" ht="16.5" customHeight="1">
      <c r="F630" s="20"/>
      <c r="G630" s="35"/>
    </row>
    <row r="631" ht="16.5" customHeight="1">
      <c r="F631" s="20"/>
      <c r="G631" s="35"/>
    </row>
    <row r="632" ht="16.5" customHeight="1">
      <c r="F632" s="20"/>
      <c r="G632" s="35"/>
    </row>
    <row r="633" ht="16.5" customHeight="1">
      <c r="F633" s="20"/>
      <c r="G633" s="35"/>
    </row>
    <row r="634" ht="16.5" customHeight="1">
      <c r="F634" s="20"/>
      <c r="G634" s="35"/>
    </row>
    <row r="635" ht="16.5" customHeight="1">
      <c r="F635" s="20"/>
      <c r="G635" s="35"/>
    </row>
    <row r="636" ht="16.5" customHeight="1">
      <c r="F636" s="20"/>
      <c r="G636" s="35"/>
    </row>
    <row r="637" ht="16.5" customHeight="1">
      <c r="F637" s="20"/>
      <c r="G637" s="35"/>
    </row>
    <row r="638" ht="16.5" customHeight="1">
      <c r="F638" s="20"/>
      <c r="G638" s="35"/>
    </row>
    <row r="639" ht="16.5" customHeight="1">
      <c r="F639" s="20"/>
      <c r="G639" s="35"/>
    </row>
    <row r="640" ht="16.5" customHeight="1">
      <c r="F640" s="20"/>
      <c r="G640" s="35"/>
    </row>
    <row r="641" ht="16.5" customHeight="1">
      <c r="F641" s="20"/>
      <c r="G641" s="35"/>
    </row>
    <row r="642" ht="16.5" customHeight="1">
      <c r="F642" s="20"/>
      <c r="G642" s="35"/>
    </row>
    <row r="643" ht="16.5" customHeight="1">
      <c r="F643" s="20"/>
      <c r="G643" s="35"/>
    </row>
    <row r="644" ht="16.5" customHeight="1">
      <c r="F644" s="20"/>
      <c r="G644" s="35"/>
    </row>
    <row r="645" ht="16.5" customHeight="1">
      <c r="F645" s="20"/>
      <c r="G645" s="35"/>
    </row>
    <row r="646" ht="16.5" customHeight="1">
      <c r="F646" s="20"/>
      <c r="G646" s="35"/>
    </row>
    <row r="647" ht="16.5" customHeight="1">
      <c r="F647" s="20"/>
      <c r="G647" s="35"/>
    </row>
    <row r="648" ht="16.5" customHeight="1">
      <c r="F648" s="20"/>
      <c r="G648" s="35"/>
    </row>
    <row r="649" ht="16.5" customHeight="1">
      <c r="F649" s="20"/>
      <c r="G649" s="35"/>
    </row>
    <row r="650" ht="16.5" customHeight="1">
      <c r="F650" s="20"/>
      <c r="G650" s="35"/>
    </row>
    <row r="651" ht="16.5" customHeight="1">
      <c r="F651" s="20"/>
      <c r="G651" s="35"/>
    </row>
    <row r="652" ht="16.5" customHeight="1">
      <c r="F652" s="20"/>
      <c r="G652" s="35"/>
    </row>
    <row r="653" ht="16.5" customHeight="1">
      <c r="F653" s="20"/>
      <c r="G653" s="35"/>
    </row>
    <row r="654" ht="16.5" customHeight="1">
      <c r="F654" s="20"/>
      <c r="G654" s="35"/>
    </row>
    <row r="655" ht="16.5" customHeight="1">
      <c r="F655" s="20"/>
      <c r="G655" s="35"/>
    </row>
    <row r="656" ht="16.5" customHeight="1">
      <c r="F656" s="20"/>
      <c r="G656" s="35"/>
    </row>
    <row r="657" ht="16.5" customHeight="1">
      <c r="F657" s="20"/>
      <c r="G657" s="35"/>
    </row>
    <row r="658" ht="16.5" customHeight="1">
      <c r="F658" s="20"/>
      <c r="G658" s="35"/>
    </row>
    <row r="659" ht="16.5" customHeight="1">
      <c r="F659" s="20"/>
      <c r="G659" s="35"/>
    </row>
    <row r="660" ht="16.5" customHeight="1">
      <c r="F660" s="20"/>
      <c r="G660" s="35"/>
    </row>
    <row r="661" ht="16.5" customHeight="1">
      <c r="F661" s="20"/>
      <c r="G661" s="35"/>
    </row>
    <row r="662" ht="16.5" customHeight="1">
      <c r="F662" s="20"/>
      <c r="G662" s="35"/>
    </row>
    <row r="663" ht="16.5" customHeight="1">
      <c r="F663" s="20"/>
      <c r="G663" s="35"/>
    </row>
    <row r="664" ht="16.5" customHeight="1">
      <c r="F664" s="20"/>
      <c r="G664" s="35"/>
    </row>
    <row r="665" ht="16.5" customHeight="1">
      <c r="F665" s="20"/>
      <c r="G665" s="35"/>
    </row>
    <row r="666" ht="16.5" customHeight="1">
      <c r="F666" s="20"/>
      <c r="G666" s="35"/>
    </row>
    <row r="667" ht="16.5" customHeight="1">
      <c r="F667" s="20"/>
      <c r="G667" s="35"/>
    </row>
    <row r="668" ht="16.5" customHeight="1">
      <c r="F668" s="20"/>
      <c r="G668" s="35"/>
    </row>
    <row r="669" ht="16.5" customHeight="1">
      <c r="F669" s="20"/>
      <c r="G669" s="35"/>
    </row>
    <row r="670" ht="16.5" customHeight="1">
      <c r="F670" s="20"/>
      <c r="G670" s="35"/>
    </row>
    <row r="671" ht="16.5" customHeight="1">
      <c r="F671" s="20"/>
      <c r="G671" s="35"/>
    </row>
    <row r="672" ht="16.5" customHeight="1">
      <c r="F672" s="20"/>
      <c r="G672" s="35"/>
    </row>
    <row r="673" ht="16.5" customHeight="1">
      <c r="F673" s="20"/>
      <c r="G673" s="35"/>
    </row>
    <row r="674" ht="16.5" customHeight="1">
      <c r="F674" s="20"/>
      <c r="G674" s="35"/>
    </row>
    <row r="675" ht="16.5" customHeight="1">
      <c r="F675" s="20"/>
      <c r="G675" s="35"/>
    </row>
    <row r="676" ht="16.5" customHeight="1">
      <c r="F676" s="20"/>
      <c r="G676" s="35"/>
    </row>
    <row r="677" ht="16.5" customHeight="1">
      <c r="F677" s="20"/>
      <c r="G677" s="35"/>
    </row>
    <row r="678" ht="16.5" customHeight="1">
      <c r="F678" s="20"/>
      <c r="G678" s="35"/>
    </row>
    <row r="679" ht="16.5" customHeight="1">
      <c r="F679" s="20"/>
      <c r="G679" s="35"/>
    </row>
    <row r="680" ht="16.5" customHeight="1">
      <c r="F680" s="20"/>
      <c r="G680" s="35"/>
    </row>
    <row r="681" ht="16.5" customHeight="1">
      <c r="F681" s="20"/>
      <c r="G681" s="35"/>
    </row>
    <row r="682" ht="16.5" customHeight="1">
      <c r="F682" s="20"/>
      <c r="G682" s="35"/>
    </row>
    <row r="683" ht="16.5" customHeight="1">
      <c r="F683" s="20"/>
      <c r="G683" s="35"/>
    </row>
    <row r="684" ht="16.5" customHeight="1">
      <c r="F684" s="20"/>
      <c r="G684" s="35"/>
    </row>
    <row r="685" ht="16.5" customHeight="1">
      <c r="F685" s="20"/>
      <c r="G685" s="35"/>
    </row>
    <row r="686" ht="16.5" customHeight="1">
      <c r="F686" s="20"/>
      <c r="G686" s="35"/>
    </row>
    <row r="687" ht="16.5" customHeight="1">
      <c r="F687" s="20"/>
      <c r="G687" s="35"/>
    </row>
    <row r="688" ht="16.5" customHeight="1">
      <c r="F688" s="20"/>
      <c r="G688" s="35"/>
    </row>
    <row r="689" ht="16.5" customHeight="1">
      <c r="F689" s="20"/>
      <c r="G689" s="35"/>
    </row>
    <row r="690" ht="16.5" customHeight="1">
      <c r="F690" s="20"/>
      <c r="G690" s="35"/>
    </row>
    <row r="691" ht="16.5" customHeight="1">
      <c r="F691" s="20"/>
      <c r="G691" s="35"/>
    </row>
    <row r="692" ht="16.5" customHeight="1">
      <c r="F692" s="20"/>
      <c r="G692" s="35"/>
    </row>
    <row r="693" ht="16.5" customHeight="1">
      <c r="F693" s="20"/>
      <c r="G693" s="35"/>
    </row>
    <row r="694" ht="16.5" customHeight="1">
      <c r="F694" s="20"/>
      <c r="G694" s="35"/>
    </row>
    <row r="695" ht="16.5" customHeight="1">
      <c r="F695" s="20"/>
      <c r="G695" s="35"/>
    </row>
    <row r="696" ht="16.5" customHeight="1">
      <c r="F696" s="20"/>
      <c r="G696" s="35"/>
    </row>
    <row r="697" ht="16.5" customHeight="1">
      <c r="F697" s="20"/>
      <c r="G697" s="35"/>
    </row>
    <row r="698" ht="16.5" customHeight="1">
      <c r="F698" s="20"/>
      <c r="G698" s="35"/>
    </row>
    <row r="699" ht="16.5" customHeight="1">
      <c r="F699" s="20"/>
      <c r="G699" s="35"/>
    </row>
    <row r="700" ht="16.5" customHeight="1">
      <c r="F700" s="20"/>
      <c r="G700" s="35"/>
    </row>
    <row r="701" ht="16.5" customHeight="1">
      <c r="F701" s="20"/>
      <c r="G701" s="35"/>
    </row>
    <row r="702" ht="16.5" customHeight="1">
      <c r="F702" s="20"/>
      <c r="G702" s="35"/>
    </row>
    <row r="703" ht="16.5" customHeight="1">
      <c r="F703" s="20"/>
      <c r="G703" s="35"/>
    </row>
    <row r="704" ht="16.5" customHeight="1">
      <c r="F704" s="20"/>
      <c r="G704" s="35"/>
    </row>
    <row r="705" ht="16.5" customHeight="1">
      <c r="F705" s="20"/>
      <c r="G705" s="35"/>
    </row>
    <row r="706" ht="16.5" customHeight="1">
      <c r="F706" s="20"/>
      <c r="G706" s="35"/>
    </row>
    <row r="707" ht="16.5" customHeight="1">
      <c r="F707" s="20"/>
      <c r="G707" s="35"/>
    </row>
    <row r="708" ht="16.5" customHeight="1">
      <c r="F708" s="20"/>
      <c r="G708" s="35"/>
    </row>
    <row r="709" ht="16.5" customHeight="1">
      <c r="F709" s="20"/>
      <c r="G709" s="35"/>
    </row>
    <row r="710" ht="16.5" customHeight="1">
      <c r="F710" s="20"/>
      <c r="G710" s="35"/>
    </row>
    <row r="711" ht="16.5" customHeight="1">
      <c r="F711" s="20"/>
      <c r="G711" s="35"/>
    </row>
    <row r="712" ht="16.5" customHeight="1">
      <c r="F712" s="20"/>
      <c r="G712" s="35"/>
    </row>
    <row r="713" ht="16.5" customHeight="1">
      <c r="F713" s="20"/>
      <c r="G713" s="35"/>
    </row>
    <row r="714" ht="16.5" customHeight="1">
      <c r="F714" s="20"/>
      <c r="G714" s="35"/>
    </row>
    <row r="715" ht="16.5" customHeight="1">
      <c r="F715" s="20"/>
      <c r="G715" s="35"/>
    </row>
    <row r="716" ht="16.5" customHeight="1">
      <c r="F716" s="20"/>
      <c r="G716" s="35"/>
    </row>
    <row r="717" ht="16.5" customHeight="1">
      <c r="F717" s="20"/>
      <c r="G717" s="35"/>
    </row>
    <row r="718" ht="16.5" customHeight="1">
      <c r="F718" s="20"/>
      <c r="G718" s="35"/>
    </row>
    <row r="719" ht="16.5" customHeight="1">
      <c r="F719" s="20"/>
      <c r="G719" s="35"/>
    </row>
    <row r="720" ht="16.5" customHeight="1">
      <c r="F720" s="20"/>
      <c r="G720" s="35"/>
    </row>
    <row r="721" ht="16.5" customHeight="1">
      <c r="F721" s="20"/>
      <c r="G721" s="35"/>
    </row>
    <row r="722" ht="16.5" customHeight="1">
      <c r="F722" s="20"/>
      <c r="G722" s="35"/>
    </row>
    <row r="723" ht="16.5" customHeight="1">
      <c r="F723" s="20"/>
      <c r="G723" s="35"/>
    </row>
    <row r="724" ht="16.5" customHeight="1">
      <c r="F724" s="20"/>
      <c r="G724" s="35"/>
    </row>
    <row r="725" ht="16.5" customHeight="1">
      <c r="F725" s="20"/>
      <c r="G725" s="35"/>
    </row>
    <row r="726" ht="16.5" customHeight="1">
      <c r="F726" s="20"/>
      <c r="G726" s="35"/>
    </row>
    <row r="727" ht="16.5" customHeight="1">
      <c r="F727" s="20"/>
      <c r="G727" s="35"/>
    </row>
    <row r="728" ht="16.5" customHeight="1">
      <c r="F728" s="20"/>
      <c r="G728" s="35"/>
    </row>
    <row r="729" ht="16.5" customHeight="1">
      <c r="F729" s="20"/>
      <c r="G729" s="35"/>
    </row>
    <row r="730" ht="16.5" customHeight="1">
      <c r="F730" s="20"/>
      <c r="G730" s="35"/>
    </row>
    <row r="731" ht="16.5" customHeight="1">
      <c r="F731" s="20"/>
      <c r="G731" s="35"/>
    </row>
    <row r="732" ht="16.5" customHeight="1">
      <c r="F732" s="20"/>
      <c r="G732" s="35"/>
    </row>
    <row r="733" ht="16.5" customHeight="1">
      <c r="F733" s="20"/>
      <c r="G733" s="35"/>
    </row>
    <row r="734" ht="16.5" customHeight="1">
      <c r="F734" s="20"/>
      <c r="G734" s="35"/>
    </row>
    <row r="735" ht="16.5" customHeight="1">
      <c r="F735" s="20"/>
      <c r="G735" s="35"/>
    </row>
    <row r="736" ht="16.5" customHeight="1">
      <c r="F736" s="20"/>
      <c r="G736" s="35"/>
    </row>
    <row r="737" ht="16.5" customHeight="1">
      <c r="F737" s="20"/>
      <c r="G737" s="35"/>
    </row>
    <row r="738" ht="16.5" customHeight="1">
      <c r="F738" s="20"/>
      <c r="G738" s="35"/>
    </row>
    <row r="739" ht="16.5" customHeight="1">
      <c r="F739" s="20"/>
      <c r="G739" s="35"/>
    </row>
    <row r="740" ht="16.5" customHeight="1">
      <c r="F740" s="20"/>
      <c r="G740" s="35"/>
    </row>
    <row r="741" ht="16.5" customHeight="1">
      <c r="F741" s="20"/>
      <c r="G741" s="35"/>
    </row>
    <row r="742" ht="16.5" customHeight="1">
      <c r="F742" s="20"/>
      <c r="G742" s="35"/>
    </row>
    <row r="743" ht="16.5" customHeight="1">
      <c r="F743" s="20"/>
      <c r="G743" s="35"/>
    </row>
    <row r="744" ht="16.5" customHeight="1">
      <c r="F744" s="20"/>
      <c r="G744" s="35"/>
    </row>
    <row r="745" ht="16.5" customHeight="1">
      <c r="F745" s="20"/>
      <c r="G745" s="35"/>
    </row>
    <row r="746" ht="16.5" customHeight="1">
      <c r="F746" s="20"/>
      <c r="G746" s="35"/>
    </row>
    <row r="747" ht="16.5" customHeight="1">
      <c r="F747" s="20"/>
      <c r="G747" s="35"/>
    </row>
    <row r="748" ht="16.5" customHeight="1">
      <c r="F748" s="20"/>
      <c r="G748" s="35"/>
    </row>
    <row r="749" ht="16.5" customHeight="1">
      <c r="F749" s="20"/>
      <c r="G749" s="35"/>
    </row>
    <row r="750" ht="16.5" customHeight="1">
      <c r="F750" s="20"/>
      <c r="G750" s="35"/>
    </row>
    <row r="751" ht="16.5" customHeight="1">
      <c r="F751" s="20"/>
      <c r="G751" s="35"/>
    </row>
    <row r="752" ht="16.5" customHeight="1">
      <c r="F752" s="20"/>
      <c r="G752" s="35"/>
    </row>
    <row r="753" ht="16.5" customHeight="1">
      <c r="F753" s="20"/>
      <c r="G753" s="35"/>
    </row>
    <row r="754" ht="16.5" customHeight="1">
      <c r="F754" s="20"/>
      <c r="G754" s="35"/>
    </row>
    <row r="755" ht="16.5" customHeight="1">
      <c r="F755" s="20"/>
      <c r="G755" s="35"/>
    </row>
    <row r="756" ht="16.5" customHeight="1">
      <c r="F756" s="20"/>
      <c r="G756" s="35"/>
    </row>
    <row r="757" ht="16.5" customHeight="1">
      <c r="F757" s="20"/>
      <c r="G757" s="35"/>
    </row>
    <row r="758" ht="16.5" customHeight="1">
      <c r="F758" s="20"/>
      <c r="G758" s="35"/>
    </row>
    <row r="759" ht="16.5" customHeight="1">
      <c r="F759" s="20"/>
      <c r="G759" s="35"/>
    </row>
    <row r="760" ht="16.5" customHeight="1">
      <c r="F760" s="20"/>
      <c r="G760" s="35"/>
    </row>
    <row r="761" ht="16.5" customHeight="1">
      <c r="F761" s="20"/>
      <c r="G761" s="35"/>
    </row>
    <row r="762" ht="16.5" customHeight="1">
      <c r="F762" s="20"/>
      <c r="G762" s="35"/>
    </row>
    <row r="763" ht="16.5" customHeight="1">
      <c r="F763" s="20"/>
      <c r="G763" s="35"/>
    </row>
    <row r="764" ht="16.5" customHeight="1">
      <c r="F764" s="20"/>
      <c r="G764" s="35"/>
    </row>
    <row r="765" ht="16.5" customHeight="1">
      <c r="F765" s="20"/>
      <c r="G765" s="35"/>
    </row>
    <row r="766" ht="16.5" customHeight="1">
      <c r="F766" s="20"/>
      <c r="G766" s="35"/>
    </row>
    <row r="767" ht="16.5" customHeight="1">
      <c r="F767" s="20"/>
      <c r="G767" s="35"/>
    </row>
    <row r="768" ht="16.5" customHeight="1">
      <c r="F768" s="20"/>
      <c r="G768" s="35"/>
    </row>
    <row r="769" ht="16.5" customHeight="1">
      <c r="F769" s="20"/>
      <c r="G769" s="35"/>
    </row>
    <row r="770" ht="16.5" customHeight="1">
      <c r="F770" s="20"/>
      <c r="G770" s="35"/>
    </row>
    <row r="771" ht="16.5" customHeight="1">
      <c r="F771" s="20"/>
      <c r="G771" s="35"/>
    </row>
    <row r="772" ht="16.5" customHeight="1">
      <c r="F772" s="20"/>
      <c r="G772" s="35"/>
    </row>
    <row r="773" ht="16.5" customHeight="1">
      <c r="F773" s="20"/>
      <c r="G773" s="35"/>
    </row>
    <row r="774" ht="16.5" customHeight="1">
      <c r="F774" s="20"/>
      <c r="G774" s="35"/>
    </row>
    <row r="775" ht="16.5" customHeight="1">
      <c r="F775" s="20"/>
      <c r="G775" s="35"/>
    </row>
    <row r="776" ht="16.5" customHeight="1">
      <c r="F776" s="20"/>
      <c r="G776" s="35"/>
    </row>
    <row r="777" ht="16.5" customHeight="1">
      <c r="F777" s="20"/>
      <c r="G777" s="35"/>
    </row>
    <row r="778" ht="16.5" customHeight="1">
      <c r="F778" s="20"/>
      <c r="G778" s="35"/>
    </row>
    <row r="779" ht="16.5" customHeight="1">
      <c r="F779" s="20"/>
      <c r="G779" s="35"/>
    </row>
    <row r="780" ht="16.5" customHeight="1">
      <c r="F780" s="20"/>
      <c r="G780" s="35"/>
    </row>
    <row r="781" ht="16.5" customHeight="1">
      <c r="F781" s="20"/>
      <c r="G781" s="35"/>
    </row>
    <row r="782" ht="16.5" customHeight="1">
      <c r="F782" s="20"/>
      <c r="G782" s="35"/>
    </row>
    <row r="783" ht="16.5" customHeight="1">
      <c r="F783" s="20"/>
      <c r="G783" s="35"/>
    </row>
    <row r="784" ht="16.5" customHeight="1">
      <c r="F784" s="20"/>
      <c r="G784" s="35"/>
    </row>
    <row r="785" ht="16.5" customHeight="1">
      <c r="F785" s="20"/>
      <c r="G785" s="35"/>
    </row>
    <row r="786" ht="16.5" customHeight="1">
      <c r="F786" s="20"/>
      <c r="G786" s="35"/>
    </row>
    <row r="787" ht="16.5" customHeight="1">
      <c r="F787" s="20"/>
      <c r="G787" s="35"/>
    </row>
    <row r="788" ht="16.5" customHeight="1">
      <c r="F788" s="20"/>
      <c r="G788" s="35"/>
    </row>
    <row r="789" ht="16.5" customHeight="1">
      <c r="F789" s="20"/>
      <c r="G789" s="35"/>
    </row>
    <row r="790" ht="16.5" customHeight="1">
      <c r="F790" s="20"/>
      <c r="G790" s="35"/>
    </row>
    <row r="791" ht="16.5" customHeight="1">
      <c r="F791" s="20"/>
      <c r="G791" s="35"/>
    </row>
    <row r="792" ht="16.5" customHeight="1">
      <c r="F792" s="20"/>
      <c r="G792" s="35"/>
    </row>
    <row r="793" ht="16.5" customHeight="1">
      <c r="F793" s="20"/>
      <c r="G793" s="35"/>
    </row>
    <row r="794" ht="16.5" customHeight="1">
      <c r="F794" s="20"/>
      <c r="G794" s="35"/>
    </row>
    <row r="795" ht="16.5" customHeight="1">
      <c r="F795" s="20"/>
      <c r="G795" s="35"/>
    </row>
    <row r="796" ht="16.5" customHeight="1">
      <c r="F796" s="20"/>
      <c r="G796" s="35"/>
    </row>
    <row r="797" ht="16.5" customHeight="1">
      <c r="F797" s="20"/>
      <c r="G797" s="35"/>
    </row>
    <row r="798" ht="16.5" customHeight="1">
      <c r="F798" s="20"/>
      <c r="G798" s="35"/>
    </row>
    <row r="799" ht="16.5" customHeight="1">
      <c r="F799" s="20"/>
      <c r="G799" s="35"/>
    </row>
    <row r="800" ht="16.5" customHeight="1">
      <c r="F800" s="20"/>
      <c r="G800" s="35"/>
    </row>
    <row r="801" ht="16.5" customHeight="1">
      <c r="F801" s="20"/>
      <c r="G801" s="35"/>
    </row>
    <row r="802" ht="16.5" customHeight="1">
      <c r="F802" s="20"/>
      <c r="G802" s="35"/>
    </row>
    <row r="803" ht="16.5" customHeight="1">
      <c r="F803" s="20"/>
      <c r="G803" s="35"/>
    </row>
    <row r="804" ht="16.5" customHeight="1">
      <c r="F804" s="20"/>
      <c r="G804" s="35"/>
    </row>
    <row r="805" ht="16.5" customHeight="1">
      <c r="F805" s="20"/>
      <c r="G805" s="35"/>
    </row>
    <row r="806" ht="16.5" customHeight="1">
      <c r="F806" s="20"/>
      <c r="G806" s="35"/>
    </row>
    <row r="807" ht="16.5" customHeight="1">
      <c r="F807" s="20"/>
      <c r="G807" s="35"/>
    </row>
    <row r="808" ht="16.5" customHeight="1">
      <c r="F808" s="20"/>
      <c r="G808" s="35"/>
    </row>
    <row r="809" ht="16.5" customHeight="1">
      <c r="F809" s="20"/>
      <c r="G809" s="35"/>
    </row>
    <row r="810" ht="16.5" customHeight="1">
      <c r="F810" s="20"/>
      <c r="G810" s="35"/>
    </row>
    <row r="811" ht="16.5" customHeight="1">
      <c r="F811" s="20"/>
      <c r="G811" s="35"/>
    </row>
    <row r="812" ht="16.5" customHeight="1">
      <c r="F812" s="20"/>
      <c r="G812" s="35"/>
    </row>
    <row r="813" ht="16.5" customHeight="1">
      <c r="F813" s="20"/>
      <c r="G813" s="35"/>
    </row>
    <row r="814" ht="16.5" customHeight="1">
      <c r="F814" s="20"/>
      <c r="G814" s="35"/>
    </row>
    <row r="815" ht="16.5" customHeight="1">
      <c r="F815" s="20"/>
      <c r="G815" s="35"/>
    </row>
    <row r="816" ht="16.5" customHeight="1">
      <c r="F816" s="20"/>
      <c r="G816" s="35"/>
    </row>
    <row r="817" ht="16.5" customHeight="1">
      <c r="F817" s="20"/>
      <c r="G817" s="35"/>
    </row>
    <row r="818" ht="16.5" customHeight="1">
      <c r="F818" s="20"/>
      <c r="G818" s="35"/>
    </row>
    <row r="819" ht="16.5" customHeight="1">
      <c r="F819" s="20"/>
      <c r="G819" s="35"/>
    </row>
    <row r="820" ht="16.5" customHeight="1">
      <c r="F820" s="20"/>
      <c r="G820" s="35"/>
    </row>
    <row r="821" ht="16.5" customHeight="1">
      <c r="F821" s="20"/>
      <c r="G821" s="35"/>
    </row>
    <row r="822" ht="16.5" customHeight="1">
      <c r="F822" s="20"/>
      <c r="G822" s="35"/>
    </row>
    <row r="823" ht="16.5" customHeight="1">
      <c r="F823" s="20"/>
      <c r="G823" s="35"/>
    </row>
    <row r="824" ht="16.5" customHeight="1">
      <c r="F824" s="20"/>
      <c r="G824" s="35"/>
    </row>
    <row r="825" ht="16.5" customHeight="1">
      <c r="F825" s="20"/>
      <c r="G825" s="35"/>
    </row>
    <row r="826" ht="16.5" customHeight="1">
      <c r="F826" s="20"/>
      <c r="G826" s="35"/>
    </row>
    <row r="827" ht="16.5" customHeight="1">
      <c r="F827" s="20"/>
      <c r="G827" s="35"/>
    </row>
    <row r="828" ht="16.5" customHeight="1">
      <c r="F828" s="20"/>
      <c r="G828" s="35"/>
    </row>
    <row r="829" ht="16.5" customHeight="1">
      <c r="F829" s="20"/>
      <c r="G829" s="35"/>
    </row>
    <row r="830" ht="16.5" customHeight="1">
      <c r="F830" s="20"/>
      <c r="G830" s="35"/>
    </row>
    <row r="831" ht="16.5" customHeight="1">
      <c r="F831" s="20"/>
      <c r="G831" s="35"/>
    </row>
    <row r="832" ht="16.5" customHeight="1">
      <c r="F832" s="20"/>
      <c r="G832" s="35"/>
    </row>
    <row r="833" ht="16.5" customHeight="1">
      <c r="F833" s="20"/>
      <c r="G833" s="35"/>
    </row>
    <row r="834" ht="16.5" customHeight="1">
      <c r="F834" s="20"/>
      <c r="G834" s="35"/>
    </row>
    <row r="835" ht="16.5" customHeight="1">
      <c r="F835" s="20"/>
      <c r="G835" s="35"/>
    </row>
    <row r="836" ht="16.5" customHeight="1">
      <c r="F836" s="20"/>
      <c r="G836" s="35"/>
    </row>
    <row r="837" ht="16.5" customHeight="1">
      <c r="F837" s="20"/>
      <c r="G837" s="35"/>
    </row>
    <row r="838" ht="16.5" customHeight="1">
      <c r="F838" s="20"/>
      <c r="G838" s="35"/>
    </row>
    <row r="839" ht="16.5" customHeight="1">
      <c r="F839" s="20"/>
      <c r="G839" s="35"/>
    </row>
    <row r="840" ht="16.5" customHeight="1">
      <c r="F840" s="20"/>
      <c r="G840" s="35"/>
    </row>
    <row r="841" ht="16.5" customHeight="1">
      <c r="F841" s="20"/>
      <c r="G841" s="35"/>
    </row>
    <row r="842" ht="16.5" customHeight="1">
      <c r="F842" s="20"/>
      <c r="G842" s="35"/>
    </row>
    <row r="843" ht="16.5" customHeight="1">
      <c r="F843" s="20"/>
      <c r="G843" s="35"/>
    </row>
    <row r="844" ht="16.5" customHeight="1">
      <c r="F844" s="20"/>
      <c r="G844" s="35"/>
    </row>
    <row r="845" ht="16.5" customHeight="1">
      <c r="F845" s="20"/>
      <c r="G845" s="35"/>
    </row>
    <row r="846" ht="16.5" customHeight="1">
      <c r="F846" s="20"/>
      <c r="G846" s="35"/>
    </row>
    <row r="847" ht="16.5" customHeight="1">
      <c r="F847" s="20"/>
      <c r="G847" s="35"/>
    </row>
    <row r="848" ht="16.5" customHeight="1">
      <c r="F848" s="20"/>
      <c r="G848" s="35"/>
    </row>
    <row r="849" ht="16.5" customHeight="1">
      <c r="F849" s="20"/>
      <c r="G849" s="35"/>
    </row>
    <row r="850" ht="16.5" customHeight="1">
      <c r="F850" s="20"/>
      <c r="G850" s="35"/>
    </row>
    <row r="851" ht="16.5" customHeight="1">
      <c r="F851" s="20"/>
      <c r="G851" s="35"/>
    </row>
    <row r="852" ht="16.5" customHeight="1">
      <c r="F852" s="20"/>
      <c r="G852" s="35"/>
    </row>
    <row r="853" ht="16.5" customHeight="1">
      <c r="F853" s="20"/>
      <c r="G853" s="35"/>
    </row>
    <row r="854" ht="16.5" customHeight="1">
      <c r="F854" s="20"/>
      <c r="G854" s="35"/>
    </row>
    <row r="855" ht="16.5" customHeight="1">
      <c r="F855" s="20"/>
      <c r="G855" s="35"/>
    </row>
    <row r="856" ht="16.5" customHeight="1">
      <c r="F856" s="20"/>
      <c r="G856" s="35"/>
    </row>
    <row r="857" ht="16.5" customHeight="1">
      <c r="F857" s="20"/>
      <c r="G857" s="35"/>
    </row>
    <row r="858" ht="16.5" customHeight="1">
      <c r="F858" s="20"/>
      <c r="G858" s="35"/>
    </row>
    <row r="859" ht="16.5" customHeight="1">
      <c r="F859" s="20"/>
      <c r="G859" s="35"/>
    </row>
    <row r="860" ht="16.5" customHeight="1">
      <c r="F860" s="20"/>
      <c r="G860" s="35"/>
    </row>
    <row r="861" ht="16.5" customHeight="1">
      <c r="F861" s="20"/>
      <c r="G861" s="35"/>
    </row>
    <row r="862" ht="16.5" customHeight="1">
      <c r="F862" s="20"/>
      <c r="G862" s="35"/>
    </row>
    <row r="863" ht="16.5" customHeight="1">
      <c r="F863" s="20"/>
      <c r="G863" s="35"/>
    </row>
    <row r="864" ht="16.5" customHeight="1">
      <c r="F864" s="20"/>
      <c r="G864" s="35"/>
    </row>
    <row r="865" ht="16.5" customHeight="1">
      <c r="F865" s="20"/>
      <c r="G865" s="35"/>
    </row>
    <row r="866" ht="16.5" customHeight="1">
      <c r="F866" s="20"/>
      <c r="G866" s="35"/>
    </row>
    <row r="867" ht="16.5" customHeight="1">
      <c r="F867" s="20"/>
      <c r="G867" s="35"/>
    </row>
    <row r="868" ht="16.5" customHeight="1">
      <c r="F868" s="20"/>
      <c r="G868" s="35"/>
    </row>
    <row r="869" ht="16.5" customHeight="1">
      <c r="F869" s="20"/>
      <c r="G869" s="35"/>
    </row>
    <row r="870" ht="16.5" customHeight="1">
      <c r="F870" s="20"/>
      <c r="G870" s="35"/>
    </row>
    <row r="871" ht="16.5" customHeight="1">
      <c r="F871" s="20"/>
      <c r="G871" s="35"/>
    </row>
    <row r="872" ht="16.5" customHeight="1">
      <c r="F872" s="20"/>
      <c r="G872" s="35"/>
    </row>
    <row r="873" ht="16.5" customHeight="1">
      <c r="F873" s="20"/>
      <c r="G873" s="35"/>
    </row>
    <row r="874" ht="16.5" customHeight="1">
      <c r="F874" s="20"/>
      <c r="G874" s="35"/>
    </row>
    <row r="875" ht="16.5" customHeight="1">
      <c r="F875" s="20"/>
      <c r="G875" s="35"/>
    </row>
    <row r="876" ht="16.5" customHeight="1">
      <c r="F876" s="20"/>
      <c r="G876" s="35"/>
    </row>
    <row r="877" ht="16.5" customHeight="1">
      <c r="F877" s="20"/>
      <c r="G877" s="35"/>
    </row>
    <row r="878" ht="16.5" customHeight="1">
      <c r="F878" s="20"/>
      <c r="G878" s="35"/>
    </row>
    <row r="879" ht="16.5" customHeight="1">
      <c r="F879" s="20"/>
      <c r="G879" s="35"/>
    </row>
    <row r="880" ht="16.5" customHeight="1">
      <c r="F880" s="20"/>
      <c r="G880" s="35"/>
    </row>
    <row r="881" ht="16.5" customHeight="1">
      <c r="F881" s="20"/>
      <c r="G881" s="35"/>
    </row>
    <row r="882" ht="16.5" customHeight="1">
      <c r="F882" s="20"/>
      <c r="G882" s="35"/>
    </row>
    <row r="883" ht="16.5" customHeight="1">
      <c r="F883" s="20"/>
      <c r="G883" s="35"/>
    </row>
    <row r="884" ht="16.5" customHeight="1">
      <c r="F884" s="20"/>
      <c r="G884" s="35"/>
    </row>
    <row r="885" ht="16.5" customHeight="1">
      <c r="F885" s="20"/>
      <c r="G885" s="35"/>
    </row>
    <row r="886" ht="16.5" customHeight="1">
      <c r="F886" s="20"/>
      <c r="G886" s="35"/>
    </row>
    <row r="887" ht="16.5" customHeight="1">
      <c r="F887" s="20"/>
      <c r="G887" s="35"/>
    </row>
    <row r="888" ht="16.5" customHeight="1">
      <c r="F888" s="20"/>
      <c r="G888" s="35"/>
    </row>
    <row r="889" ht="16.5" customHeight="1">
      <c r="F889" s="20"/>
      <c r="G889" s="35"/>
    </row>
    <row r="890" ht="16.5" customHeight="1">
      <c r="F890" s="20"/>
      <c r="G890" s="35"/>
    </row>
    <row r="891" ht="16.5" customHeight="1">
      <c r="F891" s="20"/>
      <c r="G891" s="35"/>
    </row>
    <row r="892" ht="16.5" customHeight="1">
      <c r="F892" s="20"/>
      <c r="G892" s="35"/>
    </row>
    <row r="893" ht="16.5" customHeight="1">
      <c r="F893" s="20"/>
      <c r="G893" s="35"/>
    </row>
    <row r="894" ht="16.5" customHeight="1">
      <c r="F894" s="20"/>
      <c r="G894" s="35"/>
    </row>
    <row r="895" ht="16.5" customHeight="1">
      <c r="F895" s="20"/>
      <c r="G895" s="35"/>
    </row>
    <row r="896" ht="16.5" customHeight="1">
      <c r="F896" s="20"/>
      <c r="G896" s="35"/>
    </row>
    <row r="897" ht="16.5" customHeight="1">
      <c r="F897" s="20"/>
      <c r="G897" s="35"/>
    </row>
    <row r="898" ht="16.5" customHeight="1">
      <c r="F898" s="20"/>
      <c r="G898" s="35"/>
    </row>
    <row r="899" ht="16.5" customHeight="1">
      <c r="F899" s="20"/>
      <c r="G899" s="35"/>
    </row>
    <row r="900" ht="16.5" customHeight="1">
      <c r="F900" s="20"/>
      <c r="G900" s="35"/>
    </row>
    <row r="901" ht="16.5" customHeight="1">
      <c r="F901" s="20"/>
      <c r="G901" s="35"/>
    </row>
    <row r="902" ht="16.5" customHeight="1">
      <c r="F902" s="20"/>
      <c r="G902" s="35"/>
    </row>
    <row r="903" ht="16.5" customHeight="1">
      <c r="F903" s="20"/>
      <c r="G903" s="35"/>
    </row>
    <row r="904" ht="16.5" customHeight="1">
      <c r="F904" s="20"/>
      <c r="G904" s="35"/>
    </row>
    <row r="905" ht="16.5" customHeight="1">
      <c r="F905" s="20"/>
      <c r="G905" s="35"/>
    </row>
    <row r="906" ht="16.5" customHeight="1">
      <c r="F906" s="20"/>
      <c r="G906" s="35"/>
    </row>
    <row r="907" ht="16.5" customHeight="1">
      <c r="F907" s="20"/>
      <c r="G907" s="35"/>
    </row>
    <row r="908" ht="16.5" customHeight="1">
      <c r="F908" s="20"/>
      <c r="G908" s="35"/>
    </row>
    <row r="909" ht="16.5" customHeight="1">
      <c r="F909" s="20"/>
      <c r="G909" s="35"/>
    </row>
    <row r="910" ht="16.5" customHeight="1">
      <c r="F910" s="20"/>
      <c r="G910" s="35"/>
    </row>
    <row r="911" ht="16.5" customHeight="1">
      <c r="F911" s="20"/>
      <c r="G911" s="35"/>
    </row>
    <row r="912" ht="16.5" customHeight="1">
      <c r="F912" s="20"/>
      <c r="G912" s="35"/>
    </row>
    <row r="913" ht="16.5" customHeight="1">
      <c r="F913" s="20"/>
      <c r="G913" s="35"/>
    </row>
    <row r="914" ht="16.5" customHeight="1">
      <c r="F914" s="20"/>
      <c r="G914" s="35"/>
    </row>
    <row r="915" ht="16.5" customHeight="1">
      <c r="F915" s="20"/>
      <c r="G915" s="35"/>
    </row>
    <row r="916" ht="16.5" customHeight="1">
      <c r="F916" s="20"/>
      <c r="G916" s="35"/>
    </row>
    <row r="917" ht="16.5" customHeight="1">
      <c r="F917" s="20"/>
      <c r="G917" s="35"/>
    </row>
    <row r="918" ht="16.5" customHeight="1">
      <c r="F918" s="20"/>
      <c r="G918" s="35"/>
    </row>
    <row r="919" ht="16.5" customHeight="1">
      <c r="F919" s="20"/>
      <c r="G919" s="35"/>
    </row>
    <row r="920" ht="16.5" customHeight="1">
      <c r="F920" s="20"/>
      <c r="G920" s="35"/>
    </row>
    <row r="921" ht="16.5" customHeight="1">
      <c r="F921" s="20"/>
      <c r="G921" s="35"/>
    </row>
    <row r="922" ht="16.5" customHeight="1">
      <c r="F922" s="20"/>
      <c r="G922" s="35"/>
    </row>
    <row r="923" ht="16.5" customHeight="1">
      <c r="F923" s="20"/>
      <c r="G923" s="35"/>
    </row>
    <row r="924" ht="16.5" customHeight="1">
      <c r="F924" s="20"/>
      <c r="G924" s="35"/>
    </row>
    <row r="925" ht="16.5" customHeight="1">
      <c r="F925" s="20"/>
      <c r="G925" s="35"/>
    </row>
    <row r="926" ht="16.5" customHeight="1">
      <c r="F926" s="20"/>
      <c r="G926" s="35"/>
    </row>
    <row r="927" ht="16.5" customHeight="1">
      <c r="F927" s="20"/>
      <c r="G927" s="35"/>
    </row>
    <row r="928" ht="16.5" customHeight="1">
      <c r="F928" s="20"/>
      <c r="G928" s="35"/>
    </row>
    <row r="929" ht="16.5" customHeight="1">
      <c r="F929" s="20"/>
      <c r="G929" s="35"/>
    </row>
    <row r="930" ht="16.5" customHeight="1">
      <c r="F930" s="20"/>
      <c r="G930" s="35"/>
    </row>
    <row r="931" ht="16.5" customHeight="1">
      <c r="F931" s="20"/>
      <c r="G931" s="35"/>
    </row>
    <row r="932" ht="16.5" customHeight="1">
      <c r="F932" s="20"/>
      <c r="G932" s="35"/>
    </row>
    <row r="933" ht="16.5" customHeight="1">
      <c r="F933" s="20"/>
      <c r="G933" s="35"/>
    </row>
    <row r="934" ht="16.5" customHeight="1">
      <c r="F934" s="20"/>
      <c r="G934" s="35"/>
    </row>
    <row r="935" ht="16.5" customHeight="1">
      <c r="F935" s="20"/>
      <c r="G935" s="35"/>
    </row>
    <row r="936" ht="16.5" customHeight="1">
      <c r="F936" s="20"/>
      <c r="G936" s="35"/>
    </row>
    <row r="937" ht="16.5" customHeight="1">
      <c r="F937" s="20"/>
      <c r="G937" s="35"/>
    </row>
    <row r="938" ht="16.5" customHeight="1">
      <c r="F938" s="20"/>
      <c r="G938" s="35"/>
    </row>
    <row r="939" ht="16.5" customHeight="1">
      <c r="F939" s="20"/>
      <c r="G939" s="35"/>
    </row>
    <row r="940" ht="16.5" customHeight="1">
      <c r="F940" s="20"/>
      <c r="G940" s="35"/>
    </row>
    <row r="941" ht="16.5" customHeight="1">
      <c r="F941" s="20"/>
      <c r="G941" s="35"/>
    </row>
    <row r="942" ht="16.5" customHeight="1">
      <c r="F942" s="20"/>
      <c r="G942" s="35"/>
    </row>
    <row r="943" ht="16.5" customHeight="1">
      <c r="F943" s="20"/>
      <c r="G943" s="35"/>
    </row>
    <row r="944" ht="16.5" customHeight="1">
      <c r="F944" s="20"/>
      <c r="G944" s="35"/>
    </row>
    <row r="945" ht="16.5" customHeight="1">
      <c r="F945" s="20"/>
      <c r="G945" s="35"/>
    </row>
    <row r="946" ht="16.5" customHeight="1">
      <c r="F946" s="20"/>
      <c r="G946" s="35"/>
    </row>
    <row r="947" ht="16.5" customHeight="1">
      <c r="F947" s="20"/>
      <c r="G947" s="35"/>
    </row>
    <row r="948" ht="16.5" customHeight="1">
      <c r="F948" s="20"/>
      <c r="G948" s="35"/>
    </row>
    <row r="949" ht="16.5" customHeight="1">
      <c r="F949" s="20"/>
      <c r="G949" s="35"/>
    </row>
    <row r="950" ht="16.5" customHeight="1">
      <c r="F950" s="20"/>
      <c r="G950" s="35"/>
    </row>
    <row r="951" ht="16.5" customHeight="1">
      <c r="F951" s="20"/>
      <c r="G951" s="35"/>
    </row>
    <row r="952" ht="16.5" customHeight="1">
      <c r="F952" s="20"/>
      <c r="G952" s="35"/>
    </row>
    <row r="953" ht="16.5" customHeight="1">
      <c r="F953" s="20"/>
      <c r="G953" s="35"/>
    </row>
    <row r="954" ht="16.5" customHeight="1">
      <c r="F954" s="20"/>
      <c r="G954" s="35"/>
    </row>
    <row r="955" ht="16.5" customHeight="1">
      <c r="F955" s="20"/>
      <c r="G955" s="35"/>
    </row>
    <row r="956" ht="16.5" customHeight="1">
      <c r="F956" s="20"/>
      <c r="G956" s="35"/>
    </row>
    <row r="957" ht="16.5" customHeight="1">
      <c r="F957" s="20"/>
      <c r="G957" s="35"/>
    </row>
    <row r="958" ht="16.5" customHeight="1">
      <c r="F958" s="20"/>
      <c r="G958" s="35"/>
    </row>
    <row r="959" ht="16.5" customHeight="1">
      <c r="F959" s="20"/>
      <c r="G959" s="35"/>
    </row>
    <row r="960" ht="16.5" customHeight="1">
      <c r="F960" s="20"/>
      <c r="G960" s="35"/>
    </row>
    <row r="961" ht="16.5" customHeight="1">
      <c r="F961" s="20"/>
      <c r="G961" s="35"/>
    </row>
    <row r="962" ht="16.5" customHeight="1">
      <c r="F962" s="20"/>
      <c r="G962" s="35"/>
    </row>
    <row r="963" ht="16.5" customHeight="1">
      <c r="F963" s="20"/>
      <c r="G963" s="35"/>
    </row>
    <row r="964" ht="16.5" customHeight="1">
      <c r="F964" s="20"/>
      <c r="G964" s="35"/>
    </row>
    <row r="965" ht="16.5" customHeight="1">
      <c r="F965" s="20"/>
      <c r="G965" s="35"/>
    </row>
    <row r="966" ht="16.5" customHeight="1">
      <c r="F966" s="20"/>
      <c r="G966" s="35"/>
    </row>
    <row r="967" ht="16.5" customHeight="1">
      <c r="F967" s="20"/>
      <c r="G967" s="35"/>
    </row>
    <row r="968" ht="16.5" customHeight="1">
      <c r="F968" s="20"/>
      <c r="G968" s="35"/>
    </row>
    <row r="969" ht="16.5" customHeight="1">
      <c r="F969" s="20"/>
      <c r="G969" s="35"/>
    </row>
    <row r="970" ht="16.5" customHeight="1">
      <c r="F970" s="20"/>
      <c r="G970" s="35"/>
    </row>
    <row r="971" ht="16.5" customHeight="1">
      <c r="F971" s="20"/>
      <c r="G971" s="35"/>
    </row>
    <row r="972" ht="16.5" customHeight="1">
      <c r="F972" s="20"/>
      <c r="G972" s="35"/>
    </row>
    <row r="973" ht="16.5" customHeight="1">
      <c r="F973" s="20"/>
      <c r="G973" s="35"/>
    </row>
    <row r="974" ht="16.5" customHeight="1">
      <c r="F974" s="20"/>
      <c r="G974" s="35"/>
    </row>
    <row r="975" ht="16.5" customHeight="1">
      <c r="F975" s="20"/>
      <c r="G975" s="35"/>
    </row>
    <row r="976" ht="16.5" customHeight="1">
      <c r="F976" s="20"/>
      <c r="G976" s="35"/>
    </row>
    <row r="977" ht="16.5" customHeight="1">
      <c r="F977" s="20"/>
      <c r="G977" s="35"/>
    </row>
    <row r="978" ht="16.5" customHeight="1">
      <c r="F978" s="20"/>
      <c r="G978" s="35"/>
    </row>
    <row r="979" ht="16.5" customHeight="1">
      <c r="F979" s="20"/>
      <c r="G979" s="35"/>
    </row>
    <row r="980" ht="16.5" customHeight="1">
      <c r="F980" s="20"/>
      <c r="G980" s="35"/>
    </row>
    <row r="981" ht="16.5" customHeight="1">
      <c r="F981" s="20"/>
      <c r="G981" s="35"/>
    </row>
    <row r="982" ht="16.5" customHeight="1">
      <c r="F982" s="20"/>
      <c r="G982" s="35"/>
    </row>
    <row r="983" ht="16.5" customHeight="1">
      <c r="F983" s="20"/>
      <c r="G983" s="35"/>
    </row>
    <row r="984" ht="16.5" customHeight="1">
      <c r="F984" s="20"/>
      <c r="G984" s="35"/>
    </row>
    <row r="985" ht="16.5" customHeight="1">
      <c r="F985" s="20"/>
      <c r="G985" s="35"/>
    </row>
    <row r="986" ht="16.5" customHeight="1">
      <c r="F986" s="20"/>
      <c r="G986" s="35"/>
    </row>
    <row r="987" ht="16.5" customHeight="1">
      <c r="F987" s="20"/>
      <c r="G987" s="35"/>
    </row>
    <row r="988" ht="16.5" customHeight="1">
      <c r="F988" s="20"/>
      <c r="G988" s="35"/>
    </row>
    <row r="989" ht="16.5" customHeight="1">
      <c r="F989" s="20"/>
      <c r="G989" s="35"/>
    </row>
    <row r="990" ht="16.5" customHeight="1">
      <c r="F990" s="20"/>
      <c r="G990" s="35"/>
    </row>
    <row r="991" ht="16.5" customHeight="1">
      <c r="F991" s="20"/>
      <c r="G991" s="35"/>
    </row>
    <row r="992" ht="16.5" customHeight="1">
      <c r="F992" s="20"/>
      <c r="G992" s="35"/>
    </row>
    <row r="993" ht="16.5" customHeight="1">
      <c r="F993" s="20"/>
      <c r="G993" s="35"/>
    </row>
    <row r="994" ht="16.5" customHeight="1">
      <c r="F994" s="20"/>
      <c r="G994" s="35"/>
    </row>
    <row r="995" ht="16.5" customHeight="1">
      <c r="F995" s="20"/>
      <c r="G995" s="35"/>
    </row>
    <row r="996" ht="16.5" customHeight="1">
      <c r="F996" s="20"/>
      <c r="G996" s="35"/>
    </row>
    <row r="997" ht="16.5" customHeight="1">
      <c r="F997" s="20"/>
      <c r="G997" s="35"/>
    </row>
    <row r="998" ht="16.5" customHeight="1">
      <c r="F998" s="20"/>
      <c r="G998" s="35"/>
    </row>
    <row r="999" ht="16.5" customHeight="1">
      <c r="F999" s="20"/>
      <c r="G999" s="35"/>
    </row>
    <row r="1000" ht="16.5" customHeight="1">
      <c r="F1000" s="20"/>
      <c r="G1000" s="35"/>
    </row>
    <row r="1001" ht="16.5" customHeight="1">
      <c r="F1001" s="20"/>
      <c r="G1001" s="35"/>
    </row>
  </sheetData>
  <autoFilter ref="$A$1:$I$39"/>
  <dataValidations>
    <dataValidation type="list" allowBlank="1" showErrorMessage="1" sqref="B39">
      <formula1>"MGB Synthetic,MGB Original,Mimic Original,MGB Synthetic Mistake"</formula1>
    </dataValidation>
    <dataValidation type="list" allowBlank="1" showErrorMessage="1" sqref="B2:B16 B32:B38">
      <formula1>"MGB Synthetic,MGB Original,Mimic Original,MGB Synthetic Ignore"</formula1>
    </dataValidation>
    <dataValidation type="list" allowBlank="1" showErrorMessage="1" sqref="B17:B31">
      <formula1>"MGB Synthetic,MGB Original,Mimic Original,Mimic Exclusion"</formula1>
    </dataValidation>
    <dataValidation type="list" allowBlank="1" showErrorMessage="1" sqref="C2:E38">
      <formula1>"Complete,Consensus Discussion,Ready for Labeling,Adjusting LLM,Ongoing Discussion,Ready for Labeling / Ongoing Discussion,Re-Labeling,NO DATES ON MIMIC,Not enough +ves"</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47.5"/>
    <col customWidth="1" min="3" max="3" width="18.75"/>
    <col customWidth="1" min="5" max="5" width="24.88"/>
  </cols>
  <sheetData>
    <row r="1">
      <c r="A1" s="1" t="s">
        <v>226</v>
      </c>
      <c r="B1" s="1" t="s">
        <v>227</v>
      </c>
      <c r="C1" s="1" t="s">
        <v>228</v>
      </c>
      <c r="D1" s="1" t="s">
        <v>229</v>
      </c>
      <c r="E1" s="1" t="s">
        <v>230</v>
      </c>
    </row>
    <row r="2">
      <c r="A2" s="1">
        <v>1.0</v>
      </c>
      <c r="B2" s="4" t="s">
        <v>231</v>
      </c>
      <c r="C2" s="4" t="s">
        <v>232</v>
      </c>
      <c r="D2" s="4" t="s">
        <v>233</v>
      </c>
      <c r="E2" s="4" t="s">
        <v>234</v>
      </c>
    </row>
    <row r="3">
      <c r="A3" s="1">
        <v>2.0</v>
      </c>
      <c r="B3" s="4" t="s">
        <v>235</v>
      </c>
      <c r="C3" s="4" t="s">
        <v>232</v>
      </c>
      <c r="D3" s="4" t="s">
        <v>236</v>
      </c>
      <c r="E3" s="4" t="s">
        <v>237</v>
      </c>
    </row>
    <row r="4">
      <c r="A4" s="1">
        <v>3.0</v>
      </c>
      <c r="B4" s="4" t="s">
        <v>238</v>
      </c>
      <c r="C4" s="4" t="s">
        <v>239</v>
      </c>
      <c r="D4" s="4" t="s">
        <v>240</v>
      </c>
    </row>
    <row r="5">
      <c r="A5" s="1">
        <v>4.0</v>
      </c>
      <c r="B5" s="4" t="s">
        <v>241</v>
      </c>
      <c r="C5" s="4" t="s">
        <v>242</v>
      </c>
      <c r="D5" s="4" t="s">
        <v>233</v>
      </c>
    </row>
    <row r="6">
      <c r="A6" s="1">
        <v>5.0</v>
      </c>
      <c r="C6" s="36"/>
      <c r="D6" s="4"/>
    </row>
    <row r="7">
      <c r="A7" s="1">
        <v>6.0</v>
      </c>
    </row>
    <row r="8">
      <c r="A8" s="1">
        <v>7.0</v>
      </c>
    </row>
    <row r="9">
      <c r="A9" s="1">
        <v>8.0</v>
      </c>
    </row>
    <row r="10">
      <c r="A10" s="1">
        <v>9.0</v>
      </c>
    </row>
    <row r="11">
      <c r="A11" s="1">
        <v>10.0</v>
      </c>
    </row>
  </sheetData>
  <dataValidations>
    <dataValidation type="list" allowBlank="1" showErrorMessage="1" sqref="C2:C6">
      <formula1>"Matt,Dorsa,James,Dorsa &amp; James,Everyone!"</formula1>
    </dataValidation>
    <dataValidation type="list" allowBlank="1" showErrorMessage="1" sqref="D2:D6">
      <formula1>"Yes,Pending,Need more info / have questions"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38"/>
    <col customWidth="1" min="2" max="2" width="22.88"/>
    <col customWidth="1" min="3" max="3" width="19.13"/>
    <col customWidth="1" min="4" max="4" width="11.38"/>
    <col customWidth="1" min="5" max="5" width="22.75"/>
    <col customWidth="1" min="6" max="6" width="12.88"/>
    <col customWidth="1" min="7" max="7" width="14.75"/>
    <col customWidth="1" min="17" max="17" width="11.63"/>
  </cols>
  <sheetData>
    <row r="1" ht="18.0" customHeight="1">
      <c r="A1" s="1" t="s">
        <v>0</v>
      </c>
      <c r="B1" s="1" t="s">
        <v>2</v>
      </c>
      <c r="C1" s="1" t="s">
        <v>243</v>
      </c>
      <c r="D1" s="1" t="s">
        <v>244</v>
      </c>
      <c r="E1" s="1" t="s">
        <v>245</v>
      </c>
      <c r="F1" s="1" t="s">
        <v>246</v>
      </c>
      <c r="G1" s="1" t="s">
        <v>7</v>
      </c>
      <c r="H1" s="1" t="s">
        <v>247</v>
      </c>
      <c r="I1" s="1" t="s">
        <v>9</v>
      </c>
      <c r="J1" s="1" t="s">
        <v>248</v>
      </c>
      <c r="K1" s="1" t="s">
        <v>11</v>
      </c>
      <c r="L1" s="1" t="s">
        <v>249</v>
      </c>
      <c r="M1" s="1" t="s">
        <v>13</v>
      </c>
      <c r="N1" s="1" t="s">
        <v>250</v>
      </c>
      <c r="O1" s="1" t="s">
        <v>15</v>
      </c>
      <c r="P1" s="1" t="s">
        <v>251</v>
      </c>
      <c r="Q1" s="1" t="s">
        <v>17</v>
      </c>
      <c r="R1" s="1" t="s">
        <v>252</v>
      </c>
      <c r="S1" s="1" t="s">
        <v>19</v>
      </c>
      <c r="T1" s="1" t="s">
        <v>253</v>
      </c>
      <c r="U1" s="1" t="s">
        <v>254</v>
      </c>
      <c r="V1" s="1" t="s">
        <v>255</v>
      </c>
      <c r="W1" s="1" t="s">
        <v>256</v>
      </c>
      <c r="X1" s="1" t="s">
        <v>257</v>
      </c>
      <c r="Y1" s="1" t="s">
        <v>258</v>
      </c>
      <c r="Z1" s="1" t="s">
        <v>259</v>
      </c>
      <c r="AA1" s="1" t="s">
        <v>260</v>
      </c>
      <c r="AB1" s="1" t="s">
        <v>261</v>
      </c>
      <c r="AC1" s="1" t="s">
        <v>262</v>
      </c>
    </row>
    <row r="2" ht="18.0" customHeight="1">
      <c r="A2" s="1" t="s">
        <v>27</v>
      </c>
      <c r="B2" s="4" t="s">
        <v>29</v>
      </c>
      <c r="D2" s="4">
        <v>2.0250606E7</v>
      </c>
      <c r="E2" s="4" t="s">
        <v>263</v>
      </c>
      <c r="F2" s="37"/>
      <c r="G2" s="37"/>
      <c r="H2" s="4">
        <v>2.0250818E7</v>
      </c>
      <c r="I2" s="4" t="s">
        <v>264</v>
      </c>
      <c r="J2" s="38">
        <v>2.0250825E7</v>
      </c>
      <c r="K2" s="37"/>
      <c r="L2" s="4">
        <v>2.0250901E7</v>
      </c>
      <c r="M2" s="4" t="s">
        <v>265</v>
      </c>
      <c r="N2" s="38">
        <v>2.0250902E7</v>
      </c>
      <c r="O2" s="37"/>
      <c r="P2" s="38">
        <v>2.0250903E7</v>
      </c>
      <c r="Q2" s="37"/>
      <c r="R2" s="38">
        <v>2.0250907E7</v>
      </c>
      <c r="S2" s="37"/>
      <c r="T2" s="38">
        <v>2.0250908E7</v>
      </c>
      <c r="U2" s="37"/>
      <c r="V2" s="38">
        <v>2.0250908E7</v>
      </c>
      <c r="W2" s="37"/>
      <c r="X2" s="37"/>
      <c r="Y2" s="37"/>
      <c r="Z2" s="37"/>
      <c r="AA2" s="37"/>
      <c r="AB2" s="37"/>
      <c r="AC2" s="37"/>
    </row>
    <row r="3" ht="18.0" customHeight="1">
      <c r="A3" s="1" t="s">
        <v>44</v>
      </c>
      <c r="B3" s="4" t="s">
        <v>29</v>
      </c>
      <c r="D3" s="4">
        <v>2.0250606E7</v>
      </c>
      <c r="E3" s="4" t="s">
        <v>266</v>
      </c>
      <c r="F3" s="37"/>
      <c r="G3" s="37"/>
      <c r="H3" s="38">
        <v>2.0250818E7</v>
      </c>
      <c r="I3" s="37"/>
      <c r="J3" s="38">
        <v>2.0250825E7</v>
      </c>
      <c r="K3" s="37"/>
      <c r="L3" s="4">
        <v>2.0250901E7</v>
      </c>
      <c r="M3" s="4" t="s">
        <v>267</v>
      </c>
      <c r="N3" s="38">
        <v>2.0250902E7</v>
      </c>
      <c r="O3" s="37"/>
      <c r="P3" s="38">
        <v>2.0250903E7</v>
      </c>
      <c r="Q3" s="37"/>
      <c r="R3" s="38">
        <v>2.0250907E7</v>
      </c>
      <c r="S3" s="37"/>
      <c r="T3" s="38">
        <v>2.0250908E7</v>
      </c>
      <c r="U3" s="37"/>
      <c r="V3" s="38">
        <v>2.0250908E7</v>
      </c>
      <c r="W3" s="37"/>
      <c r="X3" s="37"/>
      <c r="Y3" s="37"/>
      <c r="Z3" s="37"/>
      <c r="AA3" s="37"/>
      <c r="AB3" s="37"/>
      <c r="AC3" s="37"/>
    </row>
    <row r="4" ht="18.0" customHeight="1">
      <c r="A4" s="1" t="s">
        <v>54</v>
      </c>
      <c r="B4" s="4" t="s">
        <v>29</v>
      </c>
      <c r="D4" s="4">
        <v>2.0250606E7</v>
      </c>
      <c r="E4" s="4" t="s">
        <v>268</v>
      </c>
      <c r="F4" s="37"/>
      <c r="G4" s="37"/>
      <c r="H4" s="4">
        <v>2.0250818E7</v>
      </c>
      <c r="I4" s="4" t="s">
        <v>269</v>
      </c>
      <c r="J4" s="4">
        <v>2.0250825E7</v>
      </c>
      <c r="K4" s="4" t="s">
        <v>270</v>
      </c>
      <c r="L4" s="4">
        <v>2.0250901E7</v>
      </c>
      <c r="M4" s="4" t="s">
        <v>271</v>
      </c>
      <c r="N4" s="4">
        <v>2.0250902E7</v>
      </c>
      <c r="O4" s="4" t="s">
        <v>272</v>
      </c>
      <c r="P4" s="39">
        <v>2.0250903E7</v>
      </c>
      <c r="Q4" s="39" t="s">
        <v>273</v>
      </c>
      <c r="R4" s="39">
        <v>2.0250907E7</v>
      </c>
      <c r="S4" s="39" t="s">
        <v>273</v>
      </c>
      <c r="T4" s="39">
        <v>2.0250908E7</v>
      </c>
      <c r="U4" s="39" t="s">
        <v>273</v>
      </c>
      <c r="V4" s="38">
        <v>2.0250908E7</v>
      </c>
      <c r="W4" s="37"/>
      <c r="X4" s="37"/>
      <c r="Y4" s="37"/>
      <c r="Z4" s="37"/>
      <c r="AA4" s="37"/>
      <c r="AB4" s="37"/>
      <c r="AC4" s="37"/>
    </row>
    <row r="5" ht="18.0" customHeight="1">
      <c r="A5" s="1" t="s">
        <v>69</v>
      </c>
      <c r="B5" s="4" t="s">
        <v>29</v>
      </c>
      <c r="D5" s="4">
        <v>2.0250606E7</v>
      </c>
      <c r="E5" s="4" t="s">
        <v>274</v>
      </c>
      <c r="F5" s="37"/>
      <c r="G5" s="37"/>
      <c r="H5" s="4">
        <v>2.0250818E7</v>
      </c>
      <c r="I5" s="4" t="s">
        <v>275</v>
      </c>
      <c r="J5" s="38">
        <v>2.0250825E7</v>
      </c>
      <c r="K5" s="37"/>
      <c r="L5" s="38">
        <v>2.0250901E7</v>
      </c>
      <c r="M5" s="37"/>
      <c r="N5" s="38">
        <v>2.0250902E7</v>
      </c>
      <c r="O5" s="37"/>
      <c r="P5" s="38">
        <v>2.0250903E7</v>
      </c>
      <c r="Q5" s="37"/>
      <c r="R5" s="38"/>
      <c r="S5" s="37"/>
      <c r="T5" s="30">
        <v>2.0250908E7</v>
      </c>
      <c r="U5" s="30" t="s">
        <v>276</v>
      </c>
      <c r="V5" s="38">
        <v>2.0250908E7</v>
      </c>
      <c r="W5" s="37"/>
      <c r="X5" s="37"/>
      <c r="Y5" s="37"/>
      <c r="Z5" s="37"/>
      <c r="AA5" s="37"/>
      <c r="AB5" s="37"/>
      <c r="AC5" s="37"/>
    </row>
    <row r="6" ht="18.0" customHeight="1">
      <c r="A6" s="1" t="s">
        <v>78</v>
      </c>
      <c r="B6" s="4" t="s">
        <v>29</v>
      </c>
      <c r="D6" s="4">
        <v>2.0250606E7</v>
      </c>
      <c r="E6" s="4" t="s">
        <v>277</v>
      </c>
      <c r="F6" s="37"/>
      <c r="G6" s="37"/>
      <c r="H6" s="4">
        <v>2.0250818E7</v>
      </c>
      <c r="I6" s="4" t="s">
        <v>278</v>
      </c>
      <c r="J6" s="38">
        <v>2.0250825E7</v>
      </c>
      <c r="K6" s="37"/>
      <c r="L6" s="38">
        <v>2.0250901E7</v>
      </c>
      <c r="M6" s="37"/>
      <c r="N6" s="38">
        <v>2.0250902E7</v>
      </c>
      <c r="O6" s="37"/>
      <c r="P6" s="38">
        <v>2.0250903E7</v>
      </c>
      <c r="Q6" s="37"/>
      <c r="R6" s="30">
        <v>2.0250907E7</v>
      </c>
      <c r="S6" s="30" t="s">
        <v>279</v>
      </c>
      <c r="T6" s="38">
        <v>2.0250908E7</v>
      </c>
      <c r="U6" s="37"/>
      <c r="V6" s="38">
        <v>2.0250908E7</v>
      </c>
      <c r="W6" s="37"/>
      <c r="X6" s="37"/>
      <c r="Y6" s="37"/>
      <c r="Z6" s="37"/>
      <c r="AA6" s="37"/>
      <c r="AB6" s="37"/>
      <c r="AC6" s="37"/>
    </row>
    <row r="7" ht="18.0" customHeight="1">
      <c r="A7" s="1" t="s">
        <v>85</v>
      </c>
      <c r="B7" s="4" t="s">
        <v>29</v>
      </c>
      <c r="C7" s="4"/>
      <c r="D7" s="4">
        <v>2.0250606E7</v>
      </c>
      <c r="E7" s="4" t="s">
        <v>280</v>
      </c>
      <c r="F7" s="4">
        <v>2.0250625E7</v>
      </c>
      <c r="G7" s="4" t="s">
        <v>281</v>
      </c>
      <c r="H7" s="38">
        <v>2.0250818E7</v>
      </c>
      <c r="I7" s="37"/>
      <c r="J7" s="38">
        <v>2.0250825E7</v>
      </c>
      <c r="K7" s="37"/>
      <c r="L7" s="38">
        <v>2.0250901E7</v>
      </c>
      <c r="M7" s="37"/>
      <c r="N7" s="38">
        <v>2.0250902E7</v>
      </c>
      <c r="O7" s="37"/>
      <c r="P7" s="38">
        <v>2.0250903E7</v>
      </c>
      <c r="Q7" s="37"/>
      <c r="R7" s="38"/>
      <c r="S7" s="37"/>
      <c r="T7" s="30">
        <v>2.0250908E7</v>
      </c>
      <c r="U7" s="30" t="s">
        <v>282</v>
      </c>
      <c r="V7" s="38">
        <v>2.0250908E7</v>
      </c>
      <c r="W7" s="37"/>
      <c r="X7" s="37"/>
      <c r="Y7" s="37"/>
      <c r="Z7" s="38">
        <v>2.025111E7</v>
      </c>
      <c r="AA7" s="37"/>
      <c r="AB7" s="4">
        <v>2.0251117E7</v>
      </c>
      <c r="AC7" s="4" t="s">
        <v>283</v>
      </c>
      <c r="AD7" s="32">
        <v>2.0251125E7</v>
      </c>
      <c r="AE7" s="40"/>
    </row>
    <row r="8" ht="18.0" customHeight="1">
      <c r="A8" s="1" t="s">
        <v>90</v>
      </c>
      <c r="B8" s="4" t="s">
        <v>29</v>
      </c>
      <c r="D8" s="4">
        <v>2.0250606E7</v>
      </c>
      <c r="E8" s="4" t="s">
        <v>284</v>
      </c>
      <c r="F8" s="4">
        <v>2.0250625E7</v>
      </c>
      <c r="G8" s="4" t="s">
        <v>285</v>
      </c>
      <c r="H8" s="38">
        <v>2.0250818E7</v>
      </c>
      <c r="I8" s="37"/>
      <c r="J8" s="38">
        <v>2.0250825E7</v>
      </c>
      <c r="K8" s="37"/>
      <c r="L8" s="38">
        <v>2.0250901E7</v>
      </c>
      <c r="M8" s="37"/>
      <c r="N8" s="38">
        <v>2.0250902E7</v>
      </c>
      <c r="O8" s="37"/>
      <c r="P8" s="38">
        <v>2.0250903E7</v>
      </c>
      <c r="Q8" s="37"/>
      <c r="R8" s="39">
        <v>2.0250907E7</v>
      </c>
      <c r="S8" s="39" t="s">
        <v>273</v>
      </c>
      <c r="T8" s="4">
        <v>2.0250908E7</v>
      </c>
      <c r="U8" s="4" t="s">
        <v>286</v>
      </c>
      <c r="V8" s="4">
        <v>2.0250908E7</v>
      </c>
      <c r="W8" s="4" t="s">
        <v>287</v>
      </c>
      <c r="X8" s="38">
        <v>2.0250915E7</v>
      </c>
      <c r="Y8" s="37"/>
      <c r="Z8" s="32">
        <v>2.0251125E7</v>
      </c>
      <c r="AA8" s="40"/>
      <c r="AB8" s="37"/>
      <c r="AC8" s="37"/>
    </row>
    <row r="9" ht="18.0" customHeight="1">
      <c r="A9" s="1" t="s">
        <v>100</v>
      </c>
      <c r="B9" s="4" t="s">
        <v>29</v>
      </c>
      <c r="D9" s="4">
        <v>2.0250606E7</v>
      </c>
      <c r="E9" s="4" t="s">
        <v>288</v>
      </c>
      <c r="F9" s="37"/>
      <c r="G9" s="37"/>
      <c r="H9" s="4">
        <v>2.0250818E7</v>
      </c>
      <c r="I9" s="4" t="s">
        <v>289</v>
      </c>
      <c r="J9" s="38">
        <v>2.0250825E7</v>
      </c>
      <c r="K9" s="37"/>
      <c r="L9" s="38">
        <v>2.0250901E7</v>
      </c>
      <c r="M9" s="37"/>
      <c r="N9" s="38">
        <v>2.0250902E7</v>
      </c>
      <c r="O9" s="37"/>
      <c r="P9" s="38">
        <v>2.0250903E7</v>
      </c>
      <c r="Q9" s="37"/>
      <c r="R9" s="38"/>
      <c r="S9" s="37"/>
      <c r="T9" s="38">
        <v>2.0250908E7</v>
      </c>
      <c r="U9" s="37"/>
      <c r="V9" s="38">
        <v>2.0250908E7</v>
      </c>
      <c r="W9" s="37"/>
      <c r="X9" s="37"/>
      <c r="Y9" s="37"/>
      <c r="Z9" s="37"/>
      <c r="AA9" s="37"/>
      <c r="AB9" s="37"/>
      <c r="AC9" s="37"/>
    </row>
    <row r="10" ht="18.0" customHeight="1">
      <c r="A10" s="1" t="s">
        <v>104</v>
      </c>
      <c r="B10" s="4" t="s">
        <v>29</v>
      </c>
      <c r="D10" s="4">
        <v>2.0250606E7</v>
      </c>
      <c r="E10" s="4" t="s">
        <v>290</v>
      </c>
      <c r="F10" s="37"/>
      <c r="G10" s="37"/>
      <c r="H10" s="4">
        <v>2.0250818E7</v>
      </c>
      <c r="I10" s="4" t="s">
        <v>291</v>
      </c>
      <c r="J10" s="38">
        <v>2.0250825E7</v>
      </c>
      <c r="K10" s="37"/>
      <c r="L10" s="38">
        <v>2.0250901E7</v>
      </c>
      <c r="M10" s="37"/>
      <c r="N10" s="38">
        <v>2.0250902E7</v>
      </c>
      <c r="O10" s="37"/>
      <c r="P10" s="38">
        <v>2.0250903E7</v>
      </c>
      <c r="Q10" s="37"/>
      <c r="R10" s="38"/>
      <c r="S10" s="37"/>
      <c r="T10" s="4">
        <v>2.0250908E7</v>
      </c>
      <c r="U10" s="4" t="s">
        <v>292</v>
      </c>
      <c r="V10" s="30">
        <v>2.0250908E7</v>
      </c>
      <c r="W10" s="30" t="s">
        <v>293</v>
      </c>
      <c r="X10" s="38">
        <v>2.0250915E7</v>
      </c>
      <c r="Y10" s="37"/>
      <c r="Z10" s="32">
        <v>2.0251125E7</v>
      </c>
      <c r="AA10" s="40"/>
      <c r="AB10" s="37"/>
      <c r="AC10" s="37"/>
    </row>
    <row r="11" ht="18.0" customHeight="1">
      <c r="A11" s="1" t="s">
        <v>114</v>
      </c>
      <c r="B11" s="4" t="s">
        <v>29</v>
      </c>
      <c r="D11" s="4">
        <v>2.0250606E7</v>
      </c>
      <c r="E11" s="4" t="s">
        <v>294</v>
      </c>
      <c r="F11" s="37"/>
      <c r="G11" s="37"/>
      <c r="H11" s="4">
        <v>2.0250818E7</v>
      </c>
      <c r="I11" s="4" t="s">
        <v>295</v>
      </c>
      <c r="J11" s="38">
        <v>2.0250825E7</v>
      </c>
      <c r="K11" s="37"/>
      <c r="L11" s="38">
        <v>2.0250901E7</v>
      </c>
      <c r="M11" s="37"/>
      <c r="N11" s="38">
        <v>2.0250902E7</v>
      </c>
      <c r="O11" s="37"/>
      <c r="P11" s="38">
        <v>2.0250903E7</v>
      </c>
      <c r="Q11" s="37"/>
      <c r="R11" s="38"/>
      <c r="S11" s="37"/>
      <c r="T11" s="4">
        <v>2.0250908E7</v>
      </c>
      <c r="U11" s="4" t="s">
        <v>296</v>
      </c>
      <c r="V11" s="30">
        <v>2.0250908E7</v>
      </c>
      <c r="W11" s="4" t="s">
        <v>297</v>
      </c>
      <c r="X11" s="38">
        <v>2.0250915E7</v>
      </c>
      <c r="Y11" s="37"/>
      <c r="Z11" s="32">
        <v>2.0251125E7</v>
      </c>
      <c r="AA11" s="40"/>
      <c r="AB11" s="37"/>
      <c r="AC11" s="37"/>
    </row>
    <row r="12" ht="18.0" customHeight="1">
      <c r="A12" s="1" t="s">
        <v>189</v>
      </c>
      <c r="B12" s="4" t="s">
        <v>29</v>
      </c>
      <c r="D12" s="4">
        <v>2.0250606E7</v>
      </c>
      <c r="E12" s="4" t="s">
        <v>298</v>
      </c>
      <c r="F12" s="37"/>
      <c r="G12" s="37"/>
      <c r="H12" s="38">
        <v>2.0250818E7</v>
      </c>
      <c r="I12" s="37"/>
      <c r="J12" s="38">
        <v>2.0250825E7</v>
      </c>
      <c r="K12" s="37"/>
      <c r="L12" s="38">
        <v>2.0250901E7</v>
      </c>
      <c r="M12" s="37"/>
      <c r="N12" s="38">
        <v>2.0250902E7</v>
      </c>
      <c r="O12" s="37"/>
      <c r="P12" s="38">
        <v>2.0250903E7</v>
      </c>
      <c r="Q12" s="37"/>
      <c r="R12" s="38">
        <v>2.0250907E7</v>
      </c>
      <c r="S12" s="37"/>
      <c r="T12" s="41">
        <v>2.0250908E7</v>
      </c>
      <c r="U12" s="37"/>
      <c r="V12" s="38">
        <v>2.0250908E7</v>
      </c>
      <c r="W12" s="37"/>
      <c r="X12" s="37"/>
      <c r="Y12" s="37"/>
      <c r="Z12" s="38">
        <v>2.025111E7</v>
      </c>
      <c r="AA12" s="37"/>
      <c r="AB12" s="37"/>
      <c r="AC12" s="37"/>
    </row>
    <row r="13" ht="18.0" customHeight="1">
      <c r="A13" s="1" t="s">
        <v>134</v>
      </c>
      <c r="B13" s="4" t="s">
        <v>29</v>
      </c>
      <c r="D13" s="4">
        <v>2.0250606E7</v>
      </c>
      <c r="E13" s="4" t="s">
        <v>299</v>
      </c>
      <c r="F13" s="37"/>
      <c r="G13" s="37"/>
      <c r="H13" s="38">
        <v>2.0250818E7</v>
      </c>
      <c r="I13" s="37"/>
      <c r="J13" s="38">
        <v>2.0250825E7</v>
      </c>
      <c r="K13" s="37"/>
      <c r="L13" s="30">
        <v>2.0250901E7</v>
      </c>
      <c r="M13" s="30" t="s">
        <v>300</v>
      </c>
      <c r="N13" s="38">
        <v>2.0250902E7</v>
      </c>
      <c r="O13" s="37"/>
      <c r="P13" s="38">
        <v>2.0250903E7</v>
      </c>
      <c r="Q13" s="37"/>
      <c r="R13" s="38">
        <v>2.0250907E7</v>
      </c>
      <c r="S13" s="37"/>
      <c r="T13" s="41">
        <v>2.0250908E7</v>
      </c>
      <c r="U13" s="37"/>
      <c r="V13" s="38">
        <v>2.0250908E7</v>
      </c>
      <c r="W13" s="37"/>
      <c r="X13" s="37"/>
      <c r="Y13" s="37"/>
      <c r="Z13" s="37"/>
      <c r="AA13" s="37"/>
      <c r="AB13" s="37"/>
      <c r="AC13" s="37"/>
    </row>
    <row r="14" ht="18.0" customHeight="1">
      <c r="A14" s="1" t="s">
        <v>144</v>
      </c>
      <c r="B14" s="4" t="s">
        <v>29</v>
      </c>
      <c r="D14" s="4">
        <v>2.0250606E7</v>
      </c>
      <c r="E14" s="4" t="s">
        <v>301</v>
      </c>
      <c r="F14" s="37"/>
      <c r="G14" s="37"/>
      <c r="H14" s="38">
        <v>2.0250818E7</v>
      </c>
      <c r="I14" s="38"/>
      <c r="J14" s="38">
        <v>2.0250825E7</v>
      </c>
      <c r="K14" s="37"/>
      <c r="L14" s="38">
        <v>2.0250901E7</v>
      </c>
      <c r="M14" s="38"/>
      <c r="N14" s="38">
        <v>2.0250902E7</v>
      </c>
      <c r="O14" s="37"/>
      <c r="P14" s="38">
        <v>2.0250903E7</v>
      </c>
      <c r="Q14" s="38"/>
      <c r="R14" s="30">
        <v>2.0250907E7</v>
      </c>
      <c r="S14" s="30" t="s">
        <v>302</v>
      </c>
      <c r="T14" s="41">
        <v>2.0250908E7</v>
      </c>
      <c r="U14" s="37"/>
      <c r="V14" s="38">
        <v>2.0250908E7</v>
      </c>
      <c r="W14" s="37"/>
      <c r="X14" s="37"/>
      <c r="Y14" s="37"/>
      <c r="Z14" s="37"/>
      <c r="AA14" s="37"/>
      <c r="AB14" s="37"/>
      <c r="AC14" s="37"/>
    </row>
    <row r="15" ht="18.0" customHeight="1">
      <c r="A15" s="1" t="s">
        <v>151</v>
      </c>
      <c r="B15" s="4" t="s">
        <v>29</v>
      </c>
      <c r="D15" s="4">
        <v>2.0250606E7</v>
      </c>
      <c r="E15" s="4" t="s">
        <v>303</v>
      </c>
      <c r="F15" s="37"/>
      <c r="G15" s="37"/>
      <c r="H15" s="38">
        <v>2.0250818E7</v>
      </c>
      <c r="I15" s="37"/>
      <c r="J15" s="38">
        <v>2.0250825E7</v>
      </c>
      <c r="K15" s="37"/>
      <c r="L15" s="38">
        <v>2.0250901E7</v>
      </c>
      <c r="M15" s="38"/>
      <c r="N15" s="38">
        <v>2.0250902E7</v>
      </c>
      <c r="O15" s="37"/>
      <c r="P15" s="38">
        <v>2.0250903E7</v>
      </c>
      <c r="Q15" s="37"/>
      <c r="R15" s="4">
        <v>2.0250907E7</v>
      </c>
      <c r="S15" s="4" t="s">
        <v>304</v>
      </c>
      <c r="T15" s="41">
        <v>2.0250908E7</v>
      </c>
      <c r="U15" s="37"/>
      <c r="V15" s="42">
        <v>2.0250908E7</v>
      </c>
      <c r="W15" s="42" t="s">
        <v>305</v>
      </c>
      <c r="X15" s="37"/>
      <c r="Y15" s="37"/>
      <c r="Z15" s="37"/>
      <c r="AA15" s="37"/>
      <c r="AB15" s="37"/>
      <c r="AC15" s="37"/>
    </row>
    <row r="16" ht="18.0" customHeight="1">
      <c r="A16" s="19" t="s">
        <v>158</v>
      </c>
      <c r="B16" s="4" t="s">
        <v>29</v>
      </c>
      <c r="D16" s="4">
        <v>2.0250606E7</v>
      </c>
      <c r="E16" s="4" t="s">
        <v>306</v>
      </c>
      <c r="F16" s="4">
        <v>2.0250625E7</v>
      </c>
      <c r="G16" s="4" t="s">
        <v>307</v>
      </c>
      <c r="H16" s="38">
        <v>2.0250818E7</v>
      </c>
      <c r="I16" s="37"/>
      <c r="J16" s="38">
        <v>2.0250825E7</v>
      </c>
      <c r="K16" s="37"/>
      <c r="L16" s="38">
        <v>2.0250901E7</v>
      </c>
      <c r="M16" s="38"/>
      <c r="N16" s="38">
        <v>2.0250902E7</v>
      </c>
      <c r="O16" s="37"/>
      <c r="P16" s="38">
        <v>2.0250903E7</v>
      </c>
      <c r="Q16" s="37"/>
      <c r="R16" s="30">
        <v>2.0250907E7</v>
      </c>
      <c r="S16" s="30" t="s">
        <v>308</v>
      </c>
      <c r="T16" s="41">
        <v>2.0250908E7</v>
      </c>
      <c r="U16" s="37"/>
      <c r="V16" s="38">
        <v>2.0250908E7</v>
      </c>
      <c r="W16" s="38"/>
      <c r="X16" s="32">
        <v>2.0251125E7</v>
      </c>
      <c r="Y16" s="40"/>
      <c r="Z16" s="37"/>
      <c r="AA16" s="37"/>
      <c r="AB16" s="37"/>
      <c r="AC16" s="37"/>
    </row>
    <row r="17" ht="18.0" customHeight="1">
      <c r="A17" s="1" t="s">
        <v>27</v>
      </c>
      <c r="B17" s="4" t="s">
        <v>195</v>
      </c>
      <c r="D17" s="4">
        <v>2.0250922E7</v>
      </c>
      <c r="E17" s="4" t="s">
        <v>309</v>
      </c>
      <c r="F17" s="37"/>
      <c r="G17" s="37"/>
      <c r="T17" s="43"/>
    </row>
    <row r="18" ht="18.0" customHeight="1">
      <c r="A18" s="1" t="s">
        <v>44</v>
      </c>
      <c r="B18" s="4" t="s">
        <v>195</v>
      </c>
      <c r="D18" s="4">
        <v>2.0250922E7</v>
      </c>
      <c r="E18" s="4" t="s">
        <v>310</v>
      </c>
      <c r="F18" s="37"/>
      <c r="G18" s="37"/>
    </row>
    <row r="19" ht="18.0" customHeight="1">
      <c r="A19" s="1" t="s">
        <v>54</v>
      </c>
      <c r="B19" s="4" t="s">
        <v>195</v>
      </c>
      <c r="D19" s="4">
        <v>2.0250922E7</v>
      </c>
      <c r="E19" s="4" t="s">
        <v>311</v>
      </c>
      <c r="F19" s="37"/>
      <c r="G19" s="37"/>
    </row>
    <row r="20" ht="18.0" customHeight="1">
      <c r="A20" s="1" t="s">
        <v>69</v>
      </c>
      <c r="B20" s="4" t="s">
        <v>195</v>
      </c>
      <c r="D20" s="4">
        <v>2.0250922E7</v>
      </c>
      <c r="E20" s="4" t="s">
        <v>312</v>
      </c>
      <c r="F20" s="37"/>
      <c r="G20" s="37"/>
    </row>
    <row r="21" ht="18.0" customHeight="1">
      <c r="A21" s="1" t="s">
        <v>78</v>
      </c>
      <c r="B21" s="4" t="s">
        <v>195</v>
      </c>
      <c r="D21" s="4">
        <v>2.0250922E7</v>
      </c>
      <c r="E21" s="4" t="s">
        <v>279</v>
      </c>
      <c r="F21" s="37"/>
      <c r="G21" s="37"/>
    </row>
    <row r="22" ht="18.0" customHeight="1">
      <c r="A22" s="1" t="s">
        <v>85</v>
      </c>
      <c r="B22" s="4" t="s">
        <v>195</v>
      </c>
      <c r="C22" s="4"/>
      <c r="D22" s="4">
        <v>2.0250922E7</v>
      </c>
      <c r="E22" s="4" t="s">
        <v>313</v>
      </c>
      <c r="F22" s="4">
        <v>2.0251117E7</v>
      </c>
      <c r="G22" s="4" t="s">
        <v>313</v>
      </c>
      <c r="H22" s="32">
        <v>2.0251125E7</v>
      </c>
      <c r="I22" s="40"/>
    </row>
    <row r="23" ht="18.0" customHeight="1">
      <c r="A23" s="1" t="s">
        <v>90</v>
      </c>
      <c r="B23" s="4" t="s">
        <v>195</v>
      </c>
      <c r="D23" s="4">
        <v>2.0250922E7</v>
      </c>
      <c r="E23" s="4" t="s">
        <v>287</v>
      </c>
      <c r="F23" s="37"/>
      <c r="G23" s="37"/>
      <c r="H23" s="32">
        <v>2.0251125E7</v>
      </c>
      <c r="I23" s="40"/>
    </row>
    <row r="24" ht="18.0" customHeight="1">
      <c r="A24" s="1" t="s">
        <v>100</v>
      </c>
      <c r="B24" s="4" t="s">
        <v>195</v>
      </c>
      <c r="D24" s="4">
        <v>2.0250922E7</v>
      </c>
      <c r="E24" s="4" t="s">
        <v>314</v>
      </c>
      <c r="F24" s="37"/>
      <c r="G24" s="37"/>
    </row>
    <row r="25" ht="18.0" customHeight="1">
      <c r="A25" s="1" t="s">
        <v>104</v>
      </c>
      <c r="B25" s="4" t="s">
        <v>195</v>
      </c>
      <c r="D25" s="4">
        <v>2.0250922E7</v>
      </c>
      <c r="E25" s="4" t="s">
        <v>315</v>
      </c>
      <c r="F25" s="37"/>
      <c r="G25" s="37"/>
      <c r="H25" s="32">
        <v>2.0251125E7</v>
      </c>
      <c r="I25" s="40"/>
    </row>
    <row r="26" ht="18.0" customHeight="1">
      <c r="A26" s="1" t="s">
        <v>114</v>
      </c>
      <c r="B26" s="4" t="s">
        <v>195</v>
      </c>
      <c r="D26" s="4">
        <v>2.0250922E7</v>
      </c>
      <c r="E26" s="4" t="s">
        <v>316</v>
      </c>
      <c r="F26" s="37"/>
      <c r="G26" s="37"/>
      <c r="H26" s="32">
        <v>2.0251125E7</v>
      </c>
      <c r="I26" s="40"/>
    </row>
    <row r="27" ht="18.0" customHeight="1">
      <c r="A27" s="1" t="s">
        <v>189</v>
      </c>
      <c r="B27" s="4" t="s">
        <v>195</v>
      </c>
      <c r="D27" s="4">
        <v>2.0250922E7</v>
      </c>
      <c r="E27" s="4" t="s">
        <v>317</v>
      </c>
      <c r="F27" s="37"/>
      <c r="G27" s="37"/>
    </row>
    <row r="28" ht="18.0" customHeight="1">
      <c r="A28" s="1" t="s">
        <v>134</v>
      </c>
      <c r="B28" s="4" t="s">
        <v>195</v>
      </c>
      <c r="D28" s="4">
        <v>2.0250922E7</v>
      </c>
      <c r="E28" s="4" t="s">
        <v>318</v>
      </c>
      <c r="F28" s="37"/>
      <c r="G28" s="37"/>
    </row>
    <row r="29" ht="18.0" customHeight="1">
      <c r="A29" s="1" t="s">
        <v>144</v>
      </c>
      <c r="B29" s="4" t="s">
        <v>195</v>
      </c>
      <c r="D29" s="4">
        <v>2.0250922E7</v>
      </c>
      <c r="E29" s="4" t="s">
        <v>302</v>
      </c>
      <c r="F29" s="37"/>
      <c r="G29" s="37"/>
    </row>
    <row r="30" ht="18.0" customHeight="1">
      <c r="A30" s="1" t="s">
        <v>151</v>
      </c>
      <c r="B30" s="4" t="s">
        <v>195</v>
      </c>
      <c r="D30" s="4">
        <v>2.0250922E7</v>
      </c>
      <c r="E30" s="4" t="s">
        <v>319</v>
      </c>
      <c r="F30" s="37"/>
      <c r="G30" s="37"/>
    </row>
    <row r="31" ht="18.0" customHeight="1">
      <c r="A31" s="19" t="s">
        <v>158</v>
      </c>
      <c r="B31" s="4" t="s">
        <v>195</v>
      </c>
      <c r="D31" s="4">
        <v>2.0250922E7</v>
      </c>
      <c r="E31" s="4" t="s">
        <v>320</v>
      </c>
      <c r="F31" s="37"/>
      <c r="G31" s="37"/>
      <c r="H31" s="32">
        <v>2.0251125E7</v>
      </c>
      <c r="I31" s="40"/>
    </row>
    <row r="32" ht="18.0" customHeight="1">
      <c r="A32" s="33" t="s">
        <v>85</v>
      </c>
      <c r="B32" s="4" t="s">
        <v>91</v>
      </c>
      <c r="C32" s="4"/>
      <c r="D32" s="4">
        <v>2.0251104E7</v>
      </c>
      <c r="E32" s="4" t="s">
        <v>321</v>
      </c>
      <c r="F32" s="30">
        <v>2.0251117E7</v>
      </c>
      <c r="G32" s="30" t="s">
        <v>322</v>
      </c>
      <c r="H32" s="32">
        <v>2.0251125E7</v>
      </c>
      <c r="I32" s="40"/>
    </row>
    <row r="33" ht="18.0" customHeight="1">
      <c r="A33" s="33" t="s">
        <v>90</v>
      </c>
      <c r="B33" s="4" t="s">
        <v>91</v>
      </c>
      <c r="C33" s="4" t="s">
        <v>323</v>
      </c>
      <c r="D33" s="4">
        <v>2.0251104E7</v>
      </c>
      <c r="E33" s="4" t="s">
        <v>324</v>
      </c>
      <c r="F33" s="37"/>
      <c r="G33" s="37"/>
      <c r="H33" s="32">
        <v>2.0251125E7</v>
      </c>
      <c r="I33" s="40"/>
    </row>
    <row r="34" ht="18.0" customHeight="1">
      <c r="A34" s="34" t="s">
        <v>104</v>
      </c>
      <c r="B34" s="4" t="s">
        <v>91</v>
      </c>
      <c r="C34" s="4" t="s">
        <v>325</v>
      </c>
      <c r="D34" s="4">
        <v>2.0251104E7</v>
      </c>
      <c r="E34" s="4" t="s">
        <v>326</v>
      </c>
      <c r="F34" s="37"/>
      <c r="G34" s="37"/>
      <c r="H34" s="32">
        <v>2.0251125E7</v>
      </c>
      <c r="I34" s="40"/>
    </row>
    <row r="35" ht="18.0" customHeight="1">
      <c r="A35" s="34" t="s">
        <v>114</v>
      </c>
      <c r="B35" s="4" t="s">
        <v>91</v>
      </c>
      <c r="C35" s="4">
        <v>3.0</v>
      </c>
      <c r="D35" s="4">
        <v>2.0251104E7</v>
      </c>
      <c r="E35" s="4" t="s">
        <v>327</v>
      </c>
      <c r="F35" s="37"/>
      <c r="G35" s="37"/>
      <c r="H35" s="32">
        <v>2.0251125E7</v>
      </c>
      <c r="I35" s="40"/>
    </row>
    <row r="36" ht="18.0" customHeight="1">
      <c r="A36" s="19" t="s">
        <v>214</v>
      </c>
      <c r="B36" s="4" t="s">
        <v>91</v>
      </c>
      <c r="D36" s="39">
        <v>2.0251104E7</v>
      </c>
      <c r="E36" s="39" t="s">
        <v>273</v>
      </c>
      <c r="F36" s="4">
        <v>2.0251116E7</v>
      </c>
      <c r="G36" s="4" t="s">
        <v>328</v>
      </c>
      <c r="H36" s="4">
        <v>2.0251125E7</v>
      </c>
      <c r="I36" s="4" t="s">
        <v>329</v>
      </c>
    </row>
    <row r="37" ht="18.0" customHeight="1">
      <c r="A37" s="19" t="s">
        <v>218</v>
      </c>
      <c r="B37" s="4" t="s">
        <v>91</v>
      </c>
      <c r="D37" s="39">
        <v>2.0251104E7</v>
      </c>
      <c r="E37" s="39" t="s">
        <v>273</v>
      </c>
      <c r="F37" s="4">
        <v>2.0251116E7</v>
      </c>
      <c r="G37" s="4" t="s">
        <v>328</v>
      </c>
      <c r="H37" s="4">
        <v>2.0251125E7</v>
      </c>
      <c r="I37" s="4" t="s">
        <v>330</v>
      </c>
    </row>
    <row r="38" ht="18.0" customHeight="1">
      <c r="A38" s="19" t="s">
        <v>158</v>
      </c>
      <c r="B38" s="4" t="s">
        <v>91</v>
      </c>
      <c r="C38" s="4" t="s">
        <v>331</v>
      </c>
      <c r="D38" s="4">
        <v>2.0251104E7</v>
      </c>
      <c r="E38" s="4" t="s">
        <v>332</v>
      </c>
      <c r="F38" s="37"/>
      <c r="G38" s="37"/>
      <c r="H38" s="32">
        <v>2.0251125E7</v>
      </c>
      <c r="I38" s="40"/>
    </row>
    <row r="39" ht="18.0" customHeight="1">
      <c r="A39" s="1" t="s">
        <v>224</v>
      </c>
      <c r="B39" s="4" t="s">
        <v>225</v>
      </c>
    </row>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row r="1001" ht="18.0" customHeight="1"/>
  </sheetData>
  <dataValidations>
    <dataValidation type="list" allowBlank="1" showErrorMessage="1" sqref="B39">
      <formula1>"MGB Synthetic,MGB Original,Mimic Original,MGB Synthetic Mistake"</formula1>
    </dataValidation>
    <dataValidation type="list" allowBlank="1" showErrorMessage="1" sqref="B2:B16 B32:B38">
      <formula1>"MGB Synthetic,MGB Original,Mimic Original"</formula1>
    </dataValidation>
    <dataValidation type="list" allowBlank="1" showErrorMessage="1" sqref="B17:B31">
      <formula1>"MGB Synthetic,MGB Original,Mimic Original"</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4" max="4" width="6.38"/>
    <col customWidth="1" min="5" max="5" width="6.0"/>
    <col customWidth="1" min="6" max="6" width="8.38"/>
  </cols>
  <sheetData>
    <row r="1">
      <c r="A1" s="24" t="s">
        <v>333</v>
      </c>
      <c r="B1" s="4"/>
      <c r="C1" s="1" t="s">
        <v>334</v>
      </c>
      <c r="D1" s="4"/>
      <c r="E1" s="4"/>
      <c r="F1" s="4"/>
      <c r="G1" s="4"/>
      <c r="H1" s="4"/>
    </row>
    <row r="2">
      <c r="A2" s="44">
        <v>2.0250606E7</v>
      </c>
      <c r="B2" s="4"/>
      <c r="C2" s="4" t="s">
        <v>335</v>
      </c>
      <c r="D2" s="4" t="s">
        <v>336</v>
      </c>
      <c r="E2" s="4" t="s">
        <v>337</v>
      </c>
      <c r="F2" s="4" t="s">
        <v>338</v>
      </c>
      <c r="G2" s="4" t="s">
        <v>27</v>
      </c>
      <c r="H2" s="45">
        <v>2.0250606E7</v>
      </c>
    </row>
    <row r="3">
      <c r="A3" s="44">
        <v>2.0250625E7</v>
      </c>
      <c r="G3" s="4" t="s">
        <v>44</v>
      </c>
      <c r="H3" s="45">
        <v>2.0250606E7</v>
      </c>
    </row>
    <row r="4">
      <c r="A4" s="44">
        <v>2.0250818E7</v>
      </c>
      <c r="G4" s="4" t="s">
        <v>54</v>
      </c>
      <c r="H4" s="45">
        <v>2.0250606E7</v>
      </c>
    </row>
    <row r="5">
      <c r="A5" s="44">
        <v>2.0250825E7</v>
      </c>
      <c r="G5" s="4" t="s">
        <v>69</v>
      </c>
      <c r="H5" s="45">
        <v>2.0250606E7</v>
      </c>
    </row>
    <row r="6">
      <c r="A6" s="44">
        <v>2.0250901E7</v>
      </c>
      <c r="G6" s="4" t="s">
        <v>78</v>
      </c>
      <c r="H6" s="45">
        <v>2.0250606E7</v>
      </c>
    </row>
    <row r="7">
      <c r="A7" s="44">
        <v>2.0250902E7</v>
      </c>
      <c r="G7" s="4" t="s">
        <v>85</v>
      </c>
      <c r="H7" s="45">
        <v>2.0250606E7</v>
      </c>
    </row>
    <row r="8">
      <c r="A8" s="44">
        <v>2.0250903E7</v>
      </c>
      <c r="G8" s="4" t="s">
        <v>90</v>
      </c>
      <c r="H8" s="45">
        <v>2.0250606E7</v>
      </c>
    </row>
    <row r="9">
      <c r="A9" s="44">
        <v>2.0250907E7</v>
      </c>
      <c r="G9" s="4" t="s">
        <v>100</v>
      </c>
      <c r="H9" s="45">
        <v>2.0250606E7</v>
      </c>
    </row>
    <row r="10">
      <c r="A10" s="44">
        <v>2.0250908E7</v>
      </c>
      <c r="G10" s="4" t="s">
        <v>104</v>
      </c>
      <c r="H10" s="45">
        <v>2.0250606E7</v>
      </c>
    </row>
    <row r="11">
      <c r="A11" s="44">
        <v>2.0250915E7</v>
      </c>
      <c r="G11" s="4" t="s">
        <v>114</v>
      </c>
      <c r="H11" s="45">
        <v>2.0250606E7</v>
      </c>
    </row>
    <row r="12">
      <c r="A12" s="44">
        <v>2.025111E7</v>
      </c>
      <c r="G12" s="4" t="s">
        <v>189</v>
      </c>
      <c r="H12" s="45">
        <v>2.0250606E7</v>
      </c>
    </row>
    <row r="13">
      <c r="A13" s="44">
        <v>2.0251117E7</v>
      </c>
      <c r="G13" s="4" t="s">
        <v>134</v>
      </c>
      <c r="H13" s="45">
        <v>2.0250606E7</v>
      </c>
    </row>
    <row r="14">
      <c r="G14" s="4" t="s">
        <v>144</v>
      </c>
      <c r="H14" s="45">
        <v>2.0250606E7</v>
      </c>
    </row>
    <row r="15">
      <c r="A15" s="24" t="s">
        <v>339</v>
      </c>
      <c r="G15" s="4" t="s">
        <v>151</v>
      </c>
      <c r="H15" s="45">
        <v>2.0250606E7</v>
      </c>
    </row>
    <row r="16">
      <c r="A16" s="44">
        <v>2.0250922E7</v>
      </c>
      <c r="G16" s="46" t="s">
        <v>158</v>
      </c>
      <c r="H16" s="45">
        <v>2.0250606E7</v>
      </c>
    </row>
    <row r="17">
      <c r="A17" s="44">
        <v>2.0251117E7</v>
      </c>
      <c r="F17" s="4" t="s">
        <v>340</v>
      </c>
      <c r="G17" s="4" t="s">
        <v>27</v>
      </c>
      <c r="H17" s="47"/>
    </row>
    <row r="18">
      <c r="A18" s="25"/>
      <c r="G18" s="4" t="s">
        <v>44</v>
      </c>
      <c r="H18" s="47"/>
    </row>
    <row r="19">
      <c r="A19" s="24" t="s">
        <v>341</v>
      </c>
      <c r="G19" s="4" t="s">
        <v>54</v>
      </c>
      <c r="H19" s="47"/>
    </row>
    <row r="20">
      <c r="A20" s="44">
        <v>2.0251104E7</v>
      </c>
      <c r="G20" s="4" t="s">
        <v>69</v>
      </c>
      <c r="H20" s="47"/>
    </row>
    <row r="21">
      <c r="A21" s="44">
        <v>2.0251117E7</v>
      </c>
      <c r="G21" s="4" t="s">
        <v>78</v>
      </c>
      <c r="H21" s="47"/>
    </row>
    <row r="22">
      <c r="G22" s="4" t="s">
        <v>104</v>
      </c>
      <c r="H22" s="47"/>
    </row>
    <row r="23">
      <c r="G23" s="4" t="s">
        <v>114</v>
      </c>
      <c r="H23" s="47"/>
    </row>
    <row r="24">
      <c r="G24" s="4" t="s">
        <v>224</v>
      </c>
      <c r="H24" s="47"/>
    </row>
    <row r="25">
      <c r="G25" s="4" t="s">
        <v>129</v>
      </c>
      <c r="H25" s="47"/>
    </row>
    <row r="26">
      <c r="G26" s="4" t="s">
        <v>134</v>
      </c>
      <c r="H26" s="47"/>
    </row>
    <row r="27">
      <c r="G27" s="4" t="s">
        <v>144</v>
      </c>
      <c r="H27" s="47"/>
    </row>
    <row r="28">
      <c r="G28" s="4" t="s">
        <v>151</v>
      </c>
      <c r="H28" s="47"/>
    </row>
    <row r="29">
      <c r="F29" s="4" t="s">
        <v>342</v>
      </c>
      <c r="G29" s="48"/>
    </row>
    <row r="30">
      <c r="F30" s="4" t="s">
        <v>343</v>
      </c>
      <c r="G30" s="47"/>
    </row>
    <row r="31">
      <c r="F31" s="4" t="s">
        <v>90</v>
      </c>
      <c r="G31" s="45">
        <v>2.0250903E7</v>
      </c>
    </row>
    <row r="32">
      <c r="F32" s="4" t="s">
        <v>104</v>
      </c>
      <c r="G32" s="45">
        <v>2.0250903E7</v>
      </c>
    </row>
    <row r="33">
      <c r="F33" s="4" t="s">
        <v>114</v>
      </c>
      <c r="G33" s="45">
        <v>2.0250903E7</v>
      </c>
    </row>
    <row r="34">
      <c r="F34" s="4" t="s">
        <v>224</v>
      </c>
      <c r="G34" s="45">
        <v>2.0250903E7</v>
      </c>
    </row>
    <row r="35">
      <c r="F35" s="4" t="s">
        <v>344</v>
      </c>
      <c r="G35" s="47"/>
    </row>
    <row r="36">
      <c r="F36" s="4" t="s">
        <v>345</v>
      </c>
      <c r="G36" s="4" t="s">
        <v>85</v>
      </c>
      <c r="H36" s="45">
        <v>2.0250625E7</v>
      </c>
    </row>
    <row r="37">
      <c r="G37" s="4" t="s">
        <v>90</v>
      </c>
      <c r="H37" s="45">
        <v>2.0250625E7</v>
      </c>
    </row>
    <row r="38">
      <c r="G38" s="4" t="s">
        <v>158</v>
      </c>
      <c r="H38" s="45">
        <v>2.0250625E7</v>
      </c>
    </row>
    <row r="39">
      <c r="F39" s="4" t="s">
        <v>346</v>
      </c>
      <c r="G39" s="4" t="s">
        <v>27</v>
      </c>
      <c r="H39" s="45">
        <v>2.0250907E7</v>
      </c>
    </row>
    <row r="40">
      <c r="G40" s="4" t="s">
        <v>44</v>
      </c>
      <c r="H40" s="45">
        <v>2.0250907E7</v>
      </c>
    </row>
    <row r="41">
      <c r="G41" s="4" t="s">
        <v>54</v>
      </c>
      <c r="H41" s="45">
        <v>2.0250907E7</v>
      </c>
    </row>
    <row r="42">
      <c r="G42" s="4" t="s">
        <v>78</v>
      </c>
      <c r="H42" s="45">
        <v>2.0250907E7</v>
      </c>
    </row>
    <row r="43">
      <c r="G43" s="4" t="s">
        <v>90</v>
      </c>
      <c r="H43" s="45">
        <v>2.0250907E7</v>
      </c>
    </row>
    <row r="44">
      <c r="G44" s="4" t="s">
        <v>129</v>
      </c>
      <c r="H44" s="45">
        <v>2.0250907E7</v>
      </c>
    </row>
    <row r="45">
      <c r="G45" s="4" t="s">
        <v>134</v>
      </c>
      <c r="H45" s="45">
        <v>2.0250907E7</v>
      </c>
    </row>
    <row r="46">
      <c r="G46" s="4" t="s">
        <v>144</v>
      </c>
      <c r="H46" s="45">
        <v>2.0250907E7</v>
      </c>
    </row>
    <row r="47">
      <c r="G47" s="4" t="s">
        <v>151</v>
      </c>
      <c r="H47" s="45">
        <v>2.0250907E7</v>
      </c>
    </row>
    <row r="48">
      <c r="G48" s="4" t="s">
        <v>158</v>
      </c>
      <c r="H48" s="45">
        <v>2.0250907E7</v>
      </c>
    </row>
    <row r="49">
      <c r="F49" s="4" t="s">
        <v>347</v>
      </c>
      <c r="G49" s="4" t="s">
        <v>27</v>
      </c>
      <c r="H49" s="45">
        <v>2.0250903E7</v>
      </c>
    </row>
    <row r="50">
      <c r="G50" s="4" t="s">
        <v>44</v>
      </c>
      <c r="H50" s="45">
        <v>2.0250903E7</v>
      </c>
    </row>
    <row r="51">
      <c r="G51" s="4" t="s">
        <v>54</v>
      </c>
      <c r="H51" s="45">
        <v>2.0250903E7</v>
      </c>
    </row>
    <row r="52">
      <c r="G52" s="4" t="s">
        <v>69</v>
      </c>
      <c r="H52" s="45">
        <v>2.0250903E7</v>
      </c>
    </row>
    <row r="53">
      <c r="G53" s="4" t="s">
        <v>78</v>
      </c>
      <c r="H53" s="45">
        <v>2.0250903E7</v>
      </c>
    </row>
    <row r="54">
      <c r="G54" s="4" t="s">
        <v>85</v>
      </c>
      <c r="H54" s="45">
        <v>2.0250903E7</v>
      </c>
    </row>
    <row r="55">
      <c r="G55" s="4" t="s">
        <v>90</v>
      </c>
      <c r="H55" s="45">
        <v>2.0250903E7</v>
      </c>
    </row>
    <row r="56">
      <c r="G56" s="4" t="s">
        <v>100</v>
      </c>
      <c r="H56" s="45">
        <v>2.0250903E7</v>
      </c>
    </row>
    <row r="57">
      <c r="G57" s="4" t="s">
        <v>104</v>
      </c>
      <c r="H57" s="45">
        <v>2.0250903E7</v>
      </c>
    </row>
    <row r="58">
      <c r="G58" s="4" t="s">
        <v>114</v>
      </c>
      <c r="H58" s="45">
        <v>2.0250903E7</v>
      </c>
    </row>
    <row r="59">
      <c r="G59" s="4" t="s">
        <v>224</v>
      </c>
      <c r="H59" s="48"/>
    </row>
    <row r="60">
      <c r="G60" s="4" t="s">
        <v>129</v>
      </c>
      <c r="H60" s="45">
        <v>2.0250903E7</v>
      </c>
    </row>
    <row r="61">
      <c r="G61" s="4" t="s">
        <v>134</v>
      </c>
      <c r="H61" s="45">
        <v>2.0250903E7</v>
      </c>
    </row>
    <row r="62">
      <c r="G62" s="4" t="s">
        <v>144</v>
      </c>
      <c r="H62" s="45">
        <v>2.0250903E7</v>
      </c>
    </row>
    <row r="63">
      <c r="G63" s="4" t="s">
        <v>151</v>
      </c>
      <c r="H63" s="45">
        <v>2.0250903E7</v>
      </c>
    </row>
    <row r="64">
      <c r="G64" s="46" t="s">
        <v>158</v>
      </c>
      <c r="H64" s="45">
        <v>2.0250903E7</v>
      </c>
    </row>
    <row r="65">
      <c r="F65" s="4" t="s">
        <v>348</v>
      </c>
      <c r="G65" s="4" t="s">
        <v>27</v>
      </c>
      <c r="H65" s="45">
        <v>2.0250901E7</v>
      </c>
    </row>
    <row r="66">
      <c r="G66" s="4" t="s">
        <v>44</v>
      </c>
      <c r="H66" s="45">
        <v>2.0250901E7</v>
      </c>
    </row>
    <row r="67">
      <c r="G67" s="4" t="s">
        <v>54</v>
      </c>
      <c r="H67" s="45">
        <v>2.0250901E7</v>
      </c>
    </row>
    <row r="68">
      <c r="G68" s="4" t="s">
        <v>69</v>
      </c>
      <c r="H68" s="45">
        <v>2.0250901E7</v>
      </c>
    </row>
    <row r="69">
      <c r="G69" s="4" t="s">
        <v>78</v>
      </c>
      <c r="H69" s="45">
        <v>2.0250901E7</v>
      </c>
    </row>
    <row r="70">
      <c r="G70" s="4" t="s">
        <v>85</v>
      </c>
      <c r="H70" s="45">
        <v>2.0250901E7</v>
      </c>
    </row>
    <row r="71">
      <c r="G71" s="4" t="s">
        <v>90</v>
      </c>
      <c r="H71" s="45">
        <v>2.0250901E7</v>
      </c>
    </row>
    <row r="72">
      <c r="G72" s="4" t="s">
        <v>100</v>
      </c>
      <c r="H72" s="45">
        <v>2.0250901E7</v>
      </c>
    </row>
    <row r="73">
      <c r="G73" s="4" t="s">
        <v>104</v>
      </c>
      <c r="H73" s="45">
        <v>2.0250901E7</v>
      </c>
    </row>
    <row r="74">
      <c r="G74" s="4" t="s">
        <v>114</v>
      </c>
      <c r="H74" s="45">
        <v>2.0250901E7</v>
      </c>
    </row>
    <row r="75">
      <c r="G75" s="4" t="s">
        <v>224</v>
      </c>
      <c r="H75" s="48"/>
    </row>
    <row r="76">
      <c r="G76" s="4" t="s">
        <v>129</v>
      </c>
      <c r="H76" s="45">
        <v>2.0250901E7</v>
      </c>
    </row>
    <row r="77">
      <c r="G77" s="4" t="s">
        <v>134</v>
      </c>
      <c r="H77" s="45">
        <v>2.0250901E7</v>
      </c>
    </row>
    <row r="78">
      <c r="G78" s="4" t="s">
        <v>144</v>
      </c>
      <c r="H78" s="45">
        <v>2.0250901E7</v>
      </c>
    </row>
    <row r="79">
      <c r="G79" s="4" t="s">
        <v>151</v>
      </c>
      <c r="H79" s="45">
        <v>2.0250901E7</v>
      </c>
    </row>
    <row r="80">
      <c r="G80" s="46" t="s">
        <v>158</v>
      </c>
      <c r="H80" s="45">
        <v>2.0250901E7</v>
      </c>
    </row>
    <row r="81">
      <c r="F81" s="4" t="s">
        <v>349</v>
      </c>
      <c r="G81" s="4" t="s">
        <v>27</v>
      </c>
      <c r="H81" s="45">
        <v>2.0250902E7</v>
      </c>
    </row>
    <row r="82">
      <c r="G82" s="4" t="s">
        <v>44</v>
      </c>
      <c r="H82" s="45">
        <v>2.0250902E7</v>
      </c>
    </row>
    <row r="83">
      <c r="G83" s="4" t="s">
        <v>54</v>
      </c>
      <c r="H83" s="45">
        <v>2.0250902E7</v>
      </c>
    </row>
    <row r="84">
      <c r="G84" s="4" t="s">
        <v>69</v>
      </c>
      <c r="H84" s="45">
        <v>2.0250902E7</v>
      </c>
    </row>
    <row r="85">
      <c r="G85" s="4" t="s">
        <v>78</v>
      </c>
      <c r="H85" s="45">
        <v>2.0250902E7</v>
      </c>
    </row>
    <row r="86">
      <c r="G86" s="4" t="s">
        <v>85</v>
      </c>
      <c r="H86" s="45">
        <v>2.0250902E7</v>
      </c>
    </row>
    <row r="87">
      <c r="G87" s="4" t="s">
        <v>90</v>
      </c>
      <c r="H87" s="45">
        <v>2.0250902E7</v>
      </c>
    </row>
    <row r="88">
      <c r="G88" s="4" t="s">
        <v>100</v>
      </c>
      <c r="H88" s="45">
        <v>2.0250902E7</v>
      </c>
    </row>
    <row r="89">
      <c r="G89" s="4" t="s">
        <v>104</v>
      </c>
      <c r="H89" s="45">
        <v>2.0250902E7</v>
      </c>
    </row>
    <row r="90">
      <c r="G90" s="4" t="s">
        <v>114</v>
      </c>
      <c r="H90" s="45">
        <v>2.0250902E7</v>
      </c>
    </row>
    <row r="91">
      <c r="G91" s="4" t="s">
        <v>224</v>
      </c>
      <c r="H91" s="48"/>
    </row>
    <row r="92">
      <c r="G92" s="4" t="s">
        <v>129</v>
      </c>
      <c r="H92" s="45">
        <v>2.0250902E7</v>
      </c>
    </row>
    <row r="93">
      <c r="G93" s="4" t="s">
        <v>134</v>
      </c>
      <c r="H93" s="45">
        <v>2.0250902E7</v>
      </c>
    </row>
    <row r="94">
      <c r="G94" s="4" t="s">
        <v>144</v>
      </c>
      <c r="H94" s="45">
        <v>2.0250902E7</v>
      </c>
    </row>
    <row r="95">
      <c r="G95" s="4" t="s">
        <v>151</v>
      </c>
      <c r="H95" s="45">
        <v>2.0250902E7</v>
      </c>
    </row>
    <row r="96">
      <c r="G96" s="46" t="s">
        <v>158</v>
      </c>
      <c r="H96" s="45">
        <v>2.0250902E7</v>
      </c>
    </row>
    <row r="97">
      <c r="F97" s="4" t="s">
        <v>336</v>
      </c>
      <c r="G97" s="4" t="s">
        <v>27</v>
      </c>
      <c r="H97" s="45">
        <v>2.0250818E7</v>
      </c>
    </row>
    <row r="98">
      <c r="G98" s="4" t="s">
        <v>44</v>
      </c>
      <c r="H98" s="45">
        <v>2.0250818E7</v>
      </c>
    </row>
    <row r="99">
      <c r="G99" s="4" t="s">
        <v>54</v>
      </c>
      <c r="H99" s="45">
        <v>2.0250818E7</v>
      </c>
    </row>
    <row r="100">
      <c r="G100" s="4" t="s">
        <v>69</v>
      </c>
      <c r="H100" s="45">
        <v>2.0250818E7</v>
      </c>
    </row>
    <row r="101">
      <c r="G101" s="4" t="s">
        <v>78</v>
      </c>
      <c r="H101" s="45">
        <v>2.0250818E7</v>
      </c>
    </row>
    <row r="102">
      <c r="G102" s="4" t="s">
        <v>85</v>
      </c>
      <c r="H102" s="45">
        <v>2.0250818E7</v>
      </c>
    </row>
    <row r="103">
      <c r="G103" s="4" t="s">
        <v>90</v>
      </c>
      <c r="H103" s="45">
        <v>2.0250818E7</v>
      </c>
    </row>
    <row r="104">
      <c r="G104" s="4" t="s">
        <v>100</v>
      </c>
      <c r="H104" s="45">
        <v>2.0250818E7</v>
      </c>
    </row>
    <row r="105">
      <c r="G105" s="4" t="s">
        <v>104</v>
      </c>
      <c r="H105" s="45">
        <v>2.0250818E7</v>
      </c>
    </row>
    <row r="106">
      <c r="G106" s="4" t="s">
        <v>114</v>
      </c>
      <c r="H106" s="45">
        <v>2.0250818E7</v>
      </c>
    </row>
    <row r="107">
      <c r="G107" s="4" t="s">
        <v>224</v>
      </c>
      <c r="H107" s="48"/>
    </row>
    <row r="108">
      <c r="G108" s="4" t="s">
        <v>129</v>
      </c>
      <c r="H108" s="45">
        <v>2.0250818E7</v>
      </c>
    </row>
    <row r="109">
      <c r="G109" s="4" t="s">
        <v>134</v>
      </c>
      <c r="H109" s="45">
        <v>2.0250818E7</v>
      </c>
    </row>
    <row r="110">
      <c r="G110" s="4" t="s">
        <v>144</v>
      </c>
      <c r="H110" s="45">
        <v>2.0250818E7</v>
      </c>
    </row>
    <row r="111">
      <c r="G111" s="4" t="s">
        <v>151</v>
      </c>
      <c r="H111" s="45">
        <v>2.0250818E7</v>
      </c>
    </row>
    <row r="112">
      <c r="G112" s="46" t="s">
        <v>158</v>
      </c>
      <c r="H112" s="45">
        <v>2.0250818E7</v>
      </c>
    </row>
    <row r="113">
      <c r="F113" s="4" t="s">
        <v>350</v>
      </c>
      <c r="G113" s="4" t="s">
        <v>27</v>
      </c>
      <c r="H113" s="45">
        <v>2.0250825E7</v>
      </c>
    </row>
    <row r="114">
      <c r="G114" s="4" t="s">
        <v>44</v>
      </c>
      <c r="H114" s="45">
        <v>2.0250825E7</v>
      </c>
    </row>
    <row r="115">
      <c r="G115" s="4" t="s">
        <v>54</v>
      </c>
      <c r="H115" s="45">
        <v>2.0250825E7</v>
      </c>
    </row>
    <row r="116">
      <c r="G116" s="4" t="s">
        <v>69</v>
      </c>
      <c r="H116" s="45">
        <v>2.0250825E7</v>
      </c>
    </row>
    <row r="117">
      <c r="G117" s="4" t="s">
        <v>78</v>
      </c>
      <c r="H117" s="45">
        <v>2.0250825E7</v>
      </c>
    </row>
    <row r="118">
      <c r="G118" s="4" t="s">
        <v>85</v>
      </c>
      <c r="H118" s="45">
        <v>2.0250825E7</v>
      </c>
    </row>
    <row r="119">
      <c r="G119" s="4" t="s">
        <v>90</v>
      </c>
      <c r="H119" s="45">
        <v>2.0250825E7</v>
      </c>
    </row>
    <row r="120">
      <c r="G120" s="4" t="s">
        <v>100</v>
      </c>
      <c r="H120" s="45">
        <v>2.0250825E7</v>
      </c>
    </row>
    <row r="121">
      <c r="G121" s="4" t="s">
        <v>104</v>
      </c>
      <c r="H121" s="45">
        <v>2.0250825E7</v>
      </c>
    </row>
    <row r="122">
      <c r="G122" s="4" t="s">
        <v>114</v>
      </c>
      <c r="H122" s="45">
        <v>2.0250825E7</v>
      </c>
    </row>
    <row r="123">
      <c r="G123" s="4" t="s">
        <v>224</v>
      </c>
      <c r="H123" s="48"/>
    </row>
    <row r="124">
      <c r="G124" s="4" t="s">
        <v>129</v>
      </c>
      <c r="H124" s="45">
        <v>2.0250825E7</v>
      </c>
    </row>
    <row r="125">
      <c r="G125" s="4" t="s">
        <v>134</v>
      </c>
      <c r="H125" s="45">
        <v>2.0250825E7</v>
      </c>
    </row>
    <row r="126">
      <c r="G126" s="4" t="s">
        <v>144</v>
      </c>
      <c r="H126" s="45">
        <v>2.0250825E7</v>
      </c>
    </row>
    <row r="127">
      <c r="G127" s="4" t="s">
        <v>151</v>
      </c>
      <c r="H127" s="45">
        <v>2.0250825E7</v>
      </c>
    </row>
    <row r="128">
      <c r="G128" s="46" t="s">
        <v>158</v>
      </c>
      <c r="H128" s="45">
        <v>2.0250825E7</v>
      </c>
    </row>
    <row r="129">
      <c r="E129" s="4" t="s">
        <v>351</v>
      </c>
      <c r="F129" s="4" t="s">
        <v>90</v>
      </c>
      <c r="G129" s="45">
        <v>2.0250915E7</v>
      </c>
    </row>
    <row r="130">
      <c r="F130" s="4" t="s">
        <v>104</v>
      </c>
      <c r="G130" s="45">
        <v>2.0250915E7</v>
      </c>
    </row>
    <row r="131">
      <c r="F131" s="4" t="s">
        <v>114</v>
      </c>
      <c r="G131" s="45">
        <v>2.0250915E7</v>
      </c>
    </row>
    <row r="132">
      <c r="F132" s="4" t="s">
        <v>224</v>
      </c>
      <c r="G132" s="45">
        <v>2.0250915E7</v>
      </c>
    </row>
    <row r="133">
      <c r="E133" s="4" t="s">
        <v>352</v>
      </c>
      <c r="F133" s="4" t="s">
        <v>27</v>
      </c>
      <c r="G133" s="45">
        <v>2.0250908E7</v>
      </c>
    </row>
    <row r="134">
      <c r="F134" s="4" t="s">
        <v>44</v>
      </c>
      <c r="G134" s="45">
        <v>2.0250908E7</v>
      </c>
    </row>
    <row r="135">
      <c r="F135" s="4" t="s">
        <v>54</v>
      </c>
      <c r="G135" s="45">
        <v>2.0250908E7</v>
      </c>
    </row>
    <row r="136">
      <c r="F136" s="4" t="s">
        <v>69</v>
      </c>
      <c r="G136" s="45">
        <v>2.0250908E7</v>
      </c>
    </row>
    <row r="137">
      <c r="F137" s="4" t="s">
        <v>78</v>
      </c>
      <c r="G137" s="45">
        <v>2.0250908E7</v>
      </c>
    </row>
    <row r="138">
      <c r="F138" s="4" t="s">
        <v>85</v>
      </c>
      <c r="G138" s="45">
        <v>2.0250908E7</v>
      </c>
    </row>
    <row r="139">
      <c r="F139" s="4" t="s">
        <v>90</v>
      </c>
      <c r="G139" s="45">
        <v>2.0250908E7</v>
      </c>
    </row>
    <row r="140">
      <c r="F140" s="4" t="s">
        <v>100</v>
      </c>
      <c r="G140" s="45">
        <v>2.0250908E7</v>
      </c>
    </row>
    <row r="141">
      <c r="F141" s="4" t="s">
        <v>104</v>
      </c>
      <c r="G141" s="45">
        <v>2.0250908E7</v>
      </c>
    </row>
    <row r="142">
      <c r="F142" s="4" t="s">
        <v>114</v>
      </c>
      <c r="G142" s="45">
        <v>2.0250908E7</v>
      </c>
    </row>
    <row r="143">
      <c r="F143" s="4" t="s">
        <v>224</v>
      </c>
      <c r="G143" s="48"/>
    </row>
    <row r="144">
      <c r="F144" s="4" t="s">
        <v>129</v>
      </c>
      <c r="G144" s="45">
        <v>2.0250908E7</v>
      </c>
    </row>
    <row r="145">
      <c r="F145" s="4" t="s">
        <v>134</v>
      </c>
      <c r="G145" s="45">
        <v>2.0250908E7</v>
      </c>
    </row>
    <row r="146">
      <c r="F146" s="4" t="s">
        <v>144</v>
      </c>
      <c r="G146" s="45">
        <v>2.0250908E7</v>
      </c>
    </row>
    <row r="147">
      <c r="F147" s="4" t="s">
        <v>151</v>
      </c>
      <c r="G147" s="45">
        <v>2.0250908E7</v>
      </c>
    </row>
    <row r="148">
      <c r="F148" s="46" t="s">
        <v>158</v>
      </c>
      <c r="G148" s="45">
        <v>2.0250908E7</v>
      </c>
    </row>
    <row r="149">
      <c r="E149" s="4" t="s">
        <v>353</v>
      </c>
      <c r="F149" s="4" t="s">
        <v>27</v>
      </c>
      <c r="G149" s="45">
        <v>2.0250908E7</v>
      </c>
    </row>
    <row r="150">
      <c r="F150" s="4" t="s">
        <v>44</v>
      </c>
      <c r="G150" s="45">
        <v>2.0250908E7</v>
      </c>
    </row>
    <row r="151">
      <c r="F151" s="4" t="s">
        <v>54</v>
      </c>
      <c r="G151" s="45">
        <v>2.0250908E7</v>
      </c>
    </row>
    <row r="152">
      <c r="F152" s="4" t="s">
        <v>69</v>
      </c>
      <c r="G152" s="45">
        <v>2.0250908E7</v>
      </c>
    </row>
    <row r="153">
      <c r="F153" s="4" t="s">
        <v>78</v>
      </c>
      <c r="G153" s="45">
        <v>2.0250908E7</v>
      </c>
    </row>
    <row r="154">
      <c r="F154" s="4" t="s">
        <v>85</v>
      </c>
      <c r="G154" s="45">
        <v>2.0250908E7</v>
      </c>
    </row>
    <row r="155">
      <c r="F155" s="4" t="s">
        <v>90</v>
      </c>
      <c r="G155" s="45">
        <v>2.0250908E7</v>
      </c>
    </row>
    <row r="156">
      <c r="F156" s="4" t="s">
        <v>100</v>
      </c>
      <c r="G156" s="45">
        <v>2.0250908E7</v>
      </c>
    </row>
    <row r="157">
      <c r="F157" s="4" t="s">
        <v>104</v>
      </c>
      <c r="G157" s="45">
        <v>2.0250908E7</v>
      </c>
    </row>
    <row r="158">
      <c r="F158" s="4" t="s">
        <v>114</v>
      </c>
      <c r="G158" s="45">
        <v>2.0250908E7</v>
      </c>
    </row>
    <row r="159">
      <c r="F159" s="4" t="s">
        <v>129</v>
      </c>
      <c r="G159" s="45">
        <v>2.0250908E7</v>
      </c>
    </row>
    <row r="160">
      <c r="F160" s="4" t="s">
        <v>134</v>
      </c>
      <c r="G160" s="45">
        <v>2.0250908E7</v>
      </c>
    </row>
    <row r="161">
      <c r="F161" s="4" t="s">
        <v>144</v>
      </c>
      <c r="G161" s="45">
        <v>2.0250908E7</v>
      </c>
    </row>
    <row r="162">
      <c r="F162" s="4" t="s">
        <v>151</v>
      </c>
      <c r="G162" s="45">
        <v>2.0250908E7</v>
      </c>
    </row>
    <row r="163">
      <c r="F163" s="46" t="s">
        <v>158</v>
      </c>
      <c r="G163" s="45">
        <v>2.0250908E7</v>
      </c>
    </row>
    <row r="165">
      <c r="D165" s="4" t="s">
        <v>354</v>
      </c>
      <c r="E165" s="4" t="s">
        <v>27</v>
      </c>
      <c r="F165" s="45">
        <v>2.0250922E7</v>
      </c>
    </row>
    <row r="166">
      <c r="E166" s="4" t="s">
        <v>44</v>
      </c>
      <c r="F166" s="45">
        <v>2.0250922E7</v>
      </c>
    </row>
    <row r="167">
      <c r="E167" s="4" t="s">
        <v>54</v>
      </c>
      <c r="F167" s="45">
        <v>2.0250922E7</v>
      </c>
    </row>
    <row r="168">
      <c r="E168" s="4" t="s">
        <v>69</v>
      </c>
      <c r="F168" s="45">
        <v>2.0250922E7</v>
      </c>
    </row>
    <row r="169">
      <c r="E169" s="4" t="s">
        <v>78</v>
      </c>
      <c r="F169" s="45">
        <v>2.0250922E7</v>
      </c>
    </row>
    <row r="170">
      <c r="E170" s="4" t="s">
        <v>85</v>
      </c>
      <c r="F170" s="45">
        <v>2.0250922E7</v>
      </c>
    </row>
    <row r="171">
      <c r="E171" s="4" t="s">
        <v>90</v>
      </c>
      <c r="F171" s="45">
        <v>2.0250922E7</v>
      </c>
    </row>
    <row r="172">
      <c r="E172" s="4" t="s">
        <v>100</v>
      </c>
      <c r="F172" s="45">
        <v>2.0250922E7</v>
      </c>
    </row>
    <row r="173">
      <c r="E173" s="4" t="s">
        <v>104</v>
      </c>
      <c r="F173" s="45">
        <v>2.0250922E7</v>
      </c>
    </row>
    <row r="174">
      <c r="E174" s="4" t="s">
        <v>114</v>
      </c>
      <c r="F174" s="45">
        <v>2.0250922E7</v>
      </c>
    </row>
    <row r="175">
      <c r="E175" s="4" t="s">
        <v>189</v>
      </c>
      <c r="F175" s="45">
        <v>2.0250922E7</v>
      </c>
    </row>
    <row r="176">
      <c r="E176" s="4" t="s">
        <v>134</v>
      </c>
      <c r="F176" s="45">
        <v>2.0250922E7</v>
      </c>
    </row>
    <row r="177">
      <c r="E177" s="4" t="s">
        <v>144</v>
      </c>
      <c r="F177" s="45">
        <v>2.0250922E7</v>
      </c>
    </row>
    <row r="178">
      <c r="E178" s="4" t="s">
        <v>151</v>
      </c>
      <c r="F178" s="45">
        <v>2.0250922E7</v>
      </c>
    </row>
    <row r="179">
      <c r="E179" s="46" t="s">
        <v>158</v>
      </c>
      <c r="F179" s="45">
        <v>2.0250922E7</v>
      </c>
    </row>
    <row r="181">
      <c r="D181" s="4" t="s">
        <v>355</v>
      </c>
      <c r="E181" s="4" t="s">
        <v>356</v>
      </c>
      <c r="F181" s="4" t="s">
        <v>85</v>
      </c>
      <c r="G181" s="45">
        <v>2.0251104E7</v>
      </c>
    </row>
    <row r="182">
      <c r="F182" s="4" t="s">
        <v>90</v>
      </c>
      <c r="G182" s="45">
        <v>2.0251104E7</v>
      </c>
    </row>
    <row r="183">
      <c r="F183" s="4" t="s">
        <v>104</v>
      </c>
      <c r="G183" s="45">
        <v>2.0251104E7</v>
      </c>
    </row>
    <row r="184">
      <c r="F184" s="4" t="s">
        <v>114</v>
      </c>
      <c r="G184" s="45">
        <v>2.0251104E7</v>
      </c>
    </row>
    <row r="185">
      <c r="F185" s="4" t="s">
        <v>224</v>
      </c>
      <c r="G185" s="45">
        <v>2.0251104E7</v>
      </c>
    </row>
    <row r="186">
      <c r="F186" s="4" t="s">
        <v>129</v>
      </c>
      <c r="G186" s="45">
        <v>2.0251104E7</v>
      </c>
      <c r="H186" s="49">
        <v>2.0251116E7</v>
      </c>
    </row>
    <row r="187">
      <c r="F187" s="4" t="s">
        <v>158</v>
      </c>
      <c r="G187" s="45">
        <v>2.0251104E7</v>
      </c>
    </row>
    <row r="189">
      <c r="D189" s="4" t="s">
        <v>357</v>
      </c>
      <c r="E189" s="4" t="s">
        <v>358</v>
      </c>
      <c r="F189" s="45">
        <v>2.025111E7</v>
      </c>
      <c r="G189" s="49">
        <v>2.0251117E7</v>
      </c>
    </row>
    <row r="190">
      <c r="E190" s="4" t="s">
        <v>359</v>
      </c>
      <c r="F190" s="4">
        <v>2.0251117E7</v>
      </c>
      <c r="G190" s="49">
        <v>2.0251117E7</v>
      </c>
    </row>
    <row r="191">
      <c r="E191" s="4" t="s">
        <v>360</v>
      </c>
      <c r="F191" s="45">
        <v>2.025111E7</v>
      </c>
      <c r="G191" s="49">
        <v>2.0251117E7</v>
      </c>
    </row>
    <row r="192">
      <c r="E192" s="4" t="s">
        <v>361</v>
      </c>
      <c r="F192" s="45">
        <v>2.025111E7</v>
      </c>
    </row>
  </sheetData>
  <drawing r:id="rId1"/>
</worksheet>
</file>